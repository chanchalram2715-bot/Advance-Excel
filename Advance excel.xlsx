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https://d.docs.live.net/294324A3E4824840/Documents/"/>
    </mc:Choice>
  </mc:AlternateContent>
  <xr:revisionPtr revIDLastSave="149" documentId="8_{F6FC30AB-6AD0-4BBA-9D67-A5923D7F58F8}" xr6:coauthVersionLast="47" xr6:coauthVersionMax="47" xr10:uidLastSave="{718BB34C-06A7-4AEB-A746-5B019EE39E82}"/>
  <bookViews>
    <workbookView xWindow="-108" yWindow="-108" windowWidth="23256" windowHeight="14616" firstSheet="1" activeTab="3" xr2:uid="{0C6C843E-F704-4759-B20C-2244C64B21D0}"/>
  </bookViews>
  <sheets>
    <sheet name="Sheet1" sheetId="1" r:id="rId1"/>
    <sheet name="Raw Data" sheetId="2" r:id="rId2"/>
    <sheet name="pivot table" sheetId="3" r:id="rId3"/>
    <sheet name="Dashboard" sheetId="4" r:id="rId4"/>
  </sheets>
  <definedNames>
    <definedName name="Slicer_Location">#N/A</definedName>
    <definedName name="Slicer_Severity">#N/A</definedName>
    <definedName name="Slicer_Vehicle_Type">#N/A</definedName>
    <definedName name="Slicer_Weather_Condit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7" i="1" l="1"/>
  <c r="E8" i="1"/>
  <c r="E9" i="1"/>
  <c r="E10" i="1"/>
  <c r="E11" i="1"/>
  <c r="E12" i="1"/>
  <c r="E13" i="1"/>
  <c r="E6" i="1"/>
  <c r="D7" i="1"/>
  <c r="D8" i="1"/>
  <c r="D9" i="1"/>
  <c r="D10" i="1"/>
  <c r="D11" i="1"/>
  <c r="D12" i="1"/>
  <c r="D13" i="1"/>
  <c r="D6" i="1"/>
  <c r="C7" i="1"/>
  <c r="C8" i="1"/>
  <c r="C9" i="1"/>
  <c r="C10" i="1"/>
  <c r="C11" i="1"/>
  <c r="C12" i="1"/>
  <c r="C13" i="1"/>
  <c r="C6" i="1"/>
</calcChain>
</file>

<file path=xl/sharedStrings.xml><?xml version="1.0" encoding="utf-8"?>
<sst xmlns="http://schemas.openxmlformats.org/spreadsheetml/2006/main" count="861" uniqueCount="168">
  <si>
    <t>Question 6 : Create a dataset of 8 employees with joining dates. Use the dummy
dataset to calculate their experience in years and months.</t>
  </si>
  <si>
    <t>Employee Name</t>
  </si>
  <si>
    <t>Joining Date</t>
  </si>
  <si>
    <t>Amit</t>
  </si>
  <si>
    <t>Neha</t>
  </si>
  <si>
    <t>Rahul</t>
  </si>
  <si>
    <t>Priya</t>
  </si>
  <si>
    <t>Hari</t>
  </si>
  <si>
    <t xml:space="preserve">Vaidehi </t>
  </si>
  <si>
    <t>Omkar</t>
  </si>
  <si>
    <t>Mahesh</t>
  </si>
  <si>
    <t>Experience (Years)</t>
  </si>
  <si>
    <t>Experience (Months)</t>
  </si>
  <si>
    <t>Total Experience</t>
  </si>
  <si>
    <t>Question 7 : You are provided with a dataset containing details of 100 road
accidents.Design a Road Accident Analysis Dashboard using Pivot Tables and
Slicers in Excel</t>
  </si>
  <si>
    <t>Accident ID</t>
  </si>
  <si>
    <t>Date</t>
  </si>
  <si>
    <t>Location</t>
  </si>
  <si>
    <t>Accident Type</t>
  </si>
  <si>
    <t>Vehicle Type</t>
  </si>
  <si>
    <t>Weather Condition</t>
  </si>
  <si>
    <t>Road Condition</t>
  </si>
  <si>
    <t>Severity</t>
  </si>
  <si>
    <t>Cause</t>
  </si>
  <si>
    <t>Casualties</t>
  </si>
  <si>
    <t>AID0001</t>
  </si>
  <si>
    <t>Hyderabad</t>
  </si>
  <si>
    <t>Overturn</t>
  </si>
  <si>
    <t>Auto-Rickshaw</t>
  </si>
  <si>
    <t>Clear</t>
  </si>
  <si>
    <t>Dry</t>
  </si>
  <si>
    <t>Moderate</t>
  </si>
  <si>
    <t>Overtaking</t>
  </si>
  <si>
    <t>AID0002</t>
  </si>
  <si>
    <t>Mumbai</t>
  </si>
  <si>
    <t>Foggy</t>
  </si>
  <si>
    <t>Damaged</t>
  </si>
  <si>
    <t>Distracted Driving</t>
  </si>
  <si>
    <t>AID0003</t>
  </si>
  <si>
    <t>Bicycle</t>
  </si>
  <si>
    <t>Windy</t>
  </si>
  <si>
    <t>Under Construction</t>
  </si>
  <si>
    <t>Fatal</t>
  </si>
  <si>
    <t>AID0004</t>
  </si>
  <si>
    <t>Pune</t>
  </si>
  <si>
    <t>Collision</t>
  </si>
  <si>
    <t>Truck</t>
  </si>
  <si>
    <t>Brake Failure</t>
  </si>
  <si>
    <t>AID0005</t>
  </si>
  <si>
    <t>Bangalore</t>
  </si>
  <si>
    <t>Animal Hit</t>
  </si>
  <si>
    <t>Weather</t>
  </si>
  <si>
    <t>AID0006</t>
  </si>
  <si>
    <t>Car</t>
  </si>
  <si>
    <t>Rainy</t>
  </si>
  <si>
    <t>Minor</t>
  </si>
  <si>
    <t>Drunk Driving</t>
  </si>
  <si>
    <t>AID0007</t>
  </si>
  <si>
    <t>Delhi</t>
  </si>
  <si>
    <t>Speeding</t>
  </si>
  <si>
    <t>AID0008</t>
  </si>
  <si>
    <t>Wet</t>
  </si>
  <si>
    <t>AID0009</t>
  </si>
  <si>
    <t>AID0010</t>
  </si>
  <si>
    <t>Ahmedabad</t>
  </si>
  <si>
    <t>Motorcycle</t>
  </si>
  <si>
    <t>Severe</t>
  </si>
  <si>
    <t>AID0011</t>
  </si>
  <si>
    <t>Object Hit</t>
  </si>
  <si>
    <t>AID0012</t>
  </si>
  <si>
    <t>Pedestrian Hit</t>
  </si>
  <si>
    <t>AID0013</t>
  </si>
  <si>
    <t>AID0014</t>
  </si>
  <si>
    <t>Chennai</t>
  </si>
  <si>
    <t>Bus</t>
  </si>
  <si>
    <t>AID0015</t>
  </si>
  <si>
    <t>AID0016</t>
  </si>
  <si>
    <t>AID0017</t>
  </si>
  <si>
    <t>AID0018</t>
  </si>
  <si>
    <t>Kolkata</t>
  </si>
  <si>
    <t>AID0019</t>
  </si>
  <si>
    <t>AID0020</t>
  </si>
  <si>
    <t>AID0021</t>
  </si>
  <si>
    <t>AID0022</t>
  </si>
  <si>
    <t>AID0023</t>
  </si>
  <si>
    <t>AID0024</t>
  </si>
  <si>
    <t>AID0025</t>
  </si>
  <si>
    <t>AID0026</t>
  </si>
  <si>
    <t>AID0027</t>
  </si>
  <si>
    <t>AID0028</t>
  </si>
  <si>
    <t>AID0029</t>
  </si>
  <si>
    <t>AID0030</t>
  </si>
  <si>
    <t>AID0031</t>
  </si>
  <si>
    <t>AID0032</t>
  </si>
  <si>
    <t>AID0033</t>
  </si>
  <si>
    <t>AID0034</t>
  </si>
  <si>
    <t>AID0035</t>
  </si>
  <si>
    <t>AID0036</t>
  </si>
  <si>
    <t>AID0037</t>
  </si>
  <si>
    <t>AID0038</t>
  </si>
  <si>
    <t>AID0039</t>
  </si>
  <si>
    <t>AID0040</t>
  </si>
  <si>
    <t>AID0041</t>
  </si>
  <si>
    <t>AID0042</t>
  </si>
  <si>
    <t>AID0043</t>
  </si>
  <si>
    <t>AID0044</t>
  </si>
  <si>
    <t>AID0045</t>
  </si>
  <si>
    <t>AID0046</t>
  </si>
  <si>
    <t>AID0047</t>
  </si>
  <si>
    <t>AID0048</t>
  </si>
  <si>
    <t>AID0049</t>
  </si>
  <si>
    <t>AID0050</t>
  </si>
  <si>
    <t>AID0051</t>
  </si>
  <si>
    <t>AID0052</t>
  </si>
  <si>
    <t>AID0053</t>
  </si>
  <si>
    <t>AID0054</t>
  </si>
  <si>
    <t>AID0055</t>
  </si>
  <si>
    <t>AID0056</t>
  </si>
  <si>
    <t>AID0057</t>
  </si>
  <si>
    <t>AID0058</t>
  </si>
  <si>
    <t>AID0059</t>
  </si>
  <si>
    <t>AID0060</t>
  </si>
  <si>
    <t>AID0061</t>
  </si>
  <si>
    <t>AID0062</t>
  </si>
  <si>
    <t>AID0063</t>
  </si>
  <si>
    <t>AID0064</t>
  </si>
  <si>
    <t>AID0065</t>
  </si>
  <si>
    <t>AID0066</t>
  </si>
  <si>
    <t>AID0067</t>
  </si>
  <si>
    <t>AID0068</t>
  </si>
  <si>
    <t>AID0069</t>
  </si>
  <si>
    <t>AID0070</t>
  </si>
  <si>
    <t>AID0071</t>
  </si>
  <si>
    <t>AID0072</t>
  </si>
  <si>
    <t>AID0073</t>
  </si>
  <si>
    <t>AID0074</t>
  </si>
  <si>
    <t>AID0075</t>
  </si>
  <si>
    <t>AID0076</t>
  </si>
  <si>
    <t>AID0077</t>
  </si>
  <si>
    <t>AID0078</t>
  </si>
  <si>
    <t>AID0079</t>
  </si>
  <si>
    <t>AID0080</t>
  </si>
  <si>
    <t>AID0081</t>
  </si>
  <si>
    <t>AID0082</t>
  </si>
  <si>
    <t>AID0083</t>
  </si>
  <si>
    <t>AID0084</t>
  </si>
  <si>
    <t>AID0085</t>
  </si>
  <si>
    <t>AID0086</t>
  </si>
  <si>
    <t>AID0087</t>
  </si>
  <si>
    <t>AID0088</t>
  </si>
  <si>
    <t>AID0089</t>
  </si>
  <si>
    <t>AID0090</t>
  </si>
  <si>
    <t>AID0091</t>
  </si>
  <si>
    <t>AID0092</t>
  </si>
  <si>
    <t>AID0093</t>
  </si>
  <si>
    <t>AID0094</t>
  </si>
  <si>
    <t>AID0095</t>
  </si>
  <si>
    <t>AID0096</t>
  </si>
  <si>
    <t>AID0097</t>
  </si>
  <si>
    <t>AID0098</t>
  </si>
  <si>
    <t>AID0099</t>
  </si>
  <si>
    <t>AID0100</t>
  </si>
  <si>
    <t>Row Labels</t>
  </si>
  <si>
    <t>Grand Total</t>
  </si>
  <si>
    <t>Count of Accident ID</t>
  </si>
  <si>
    <t xml:space="preserve">Total Accidents
= 100
</t>
  </si>
  <si>
    <t>Total Casualties
=252</t>
  </si>
  <si>
    <t>Fatal Accidents
= 28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</si>
</sst>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6"/>
      <color theme="1"/>
      <name val="Calibri"/>
      <family val="2"/>
      <scheme val="minor"/>
    </font>
    <font>
      <sz val="20"/>
      <color theme="1"/>
      <name val="Calibri"/>
      <family val="2"/>
      <scheme val="minor"/>
    </font>
    <font>
      <sz val="11"/>
      <color theme="0" tint="-4.9989318521683403E-2"/>
      <name val="Calibri"/>
      <family val="2"/>
      <scheme val="minor"/>
    </font>
    <font>
      <sz val="11"/>
      <color theme="4" tint="-0.249977111117893"/>
      <name val="Calibri"/>
      <family val="2"/>
      <scheme val="minor"/>
    </font>
    <font>
      <b/>
      <sz val="10"/>
      <color theme="1"/>
      <name val="Arial"/>
      <family val="2"/>
    </font>
    <font>
      <sz val="10"/>
      <color theme="1"/>
      <name val="Arial"/>
      <family val="2"/>
    </font>
  </fonts>
  <fills count="4">
    <fill>
      <patternFill patternType="none"/>
    </fill>
    <fill>
      <patternFill patternType="gray125"/>
    </fill>
    <fill>
      <patternFill patternType="solid">
        <fgColor theme="5" tint="0.39997558519241921"/>
        <bgColor indexed="64"/>
      </patternFill>
    </fill>
    <fill>
      <patternFill patternType="solid">
        <fgColor theme="7" tint="0.39997558519241921"/>
        <bgColor indexed="64"/>
      </patternFill>
    </fill>
  </fills>
  <borders count="10">
    <border>
      <left/>
      <right/>
      <top/>
      <bottom/>
      <diagonal/>
    </border>
    <border>
      <left style="medium">
        <color rgb="FFCCCCCC"/>
      </left>
      <right style="medium">
        <color rgb="FFCCCCCC"/>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right style="medium">
        <color rgb="FFCCCCCC"/>
      </right>
      <top/>
      <bottom style="medium">
        <color rgb="FFCCCCCC"/>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right style="medium">
        <color rgb="FFCCCCCC"/>
      </right>
      <top style="medium">
        <color rgb="FFCCCCCC"/>
      </top>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s>
  <cellStyleXfs count="1">
    <xf numFmtId="0" fontId="0" fillId="0" borderId="0"/>
  </cellStyleXfs>
  <cellXfs count="28">
    <xf numFmtId="0" fontId="0" fillId="0" borderId="0" xfId="0"/>
    <xf numFmtId="0" fontId="3" fillId="2" borderId="0" xfId="0" applyFont="1" applyFill="1" applyAlignment="1">
      <alignment horizontal="center" vertical="center" wrapText="1"/>
    </xf>
    <xf numFmtId="0" fontId="3" fillId="2" borderId="0" xfId="0" applyFont="1" applyFill="1" applyAlignment="1">
      <alignment horizontal="center"/>
    </xf>
    <xf numFmtId="0" fontId="4" fillId="3" borderId="0" xfId="0" applyFont="1" applyFill="1" applyAlignment="1">
      <alignment horizontal="center" vertical="center" wrapText="1"/>
    </xf>
    <xf numFmtId="14" fontId="4" fillId="3" borderId="0" xfId="0" applyNumberFormat="1" applyFont="1" applyFill="1" applyAlignment="1">
      <alignment horizontal="center" vertical="center" wrapText="1"/>
    </xf>
    <xf numFmtId="0" fontId="4" fillId="3" borderId="0" xfId="0" applyFont="1" applyFill="1" applyAlignment="1">
      <alignment horizontal="center"/>
    </xf>
    <xf numFmtId="14" fontId="4" fillId="3" borderId="0" xfId="0" applyNumberFormat="1" applyFont="1" applyFill="1" applyAlignment="1">
      <alignment horizontal="center"/>
    </xf>
    <xf numFmtId="0" fontId="6" fillId="0" borderId="1" xfId="0" applyFont="1" applyBorder="1" applyAlignment="1">
      <alignment horizontal="center" wrapText="1"/>
    </xf>
    <xf numFmtId="14" fontId="6" fillId="0" borderId="1" xfId="0" applyNumberFormat="1" applyFont="1" applyBorder="1" applyAlignment="1">
      <alignment horizontal="center" wrapText="1"/>
    </xf>
    <xf numFmtId="0" fontId="6" fillId="0" borderId="2" xfId="0" applyFont="1" applyBorder="1" applyAlignment="1">
      <alignment horizontal="center" wrapText="1"/>
    </xf>
    <xf numFmtId="0" fontId="6" fillId="0" borderId="3" xfId="0" applyFont="1" applyBorder="1" applyAlignment="1">
      <alignment horizontal="center" wrapText="1"/>
    </xf>
    <xf numFmtId="0" fontId="5" fillId="0" borderId="4" xfId="0" applyFont="1" applyBorder="1" applyAlignment="1">
      <alignment horizontal="center" wrapText="1"/>
    </xf>
    <xf numFmtId="0" fontId="5" fillId="0" borderId="5" xfId="0" applyFont="1" applyBorder="1" applyAlignment="1">
      <alignment horizontal="center" wrapText="1"/>
    </xf>
    <xf numFmtId="0" fontId="5" fillId="0" borderId="6" xfId="0" applyFont="1" applyBorder="1" applyAlignment="1">
      <alignment horizontal="center" wrapText="1"/>
    </xf>
    <xf numFmtId="0" fontId="6" fillId="0" borderId="7" xfId="0" applyFont="1" applyBorder="1" applyAlignment="1">
      <alignment horizontal="center" wrapText="1"/>
    </xf>
    <xf numFmtId="14" fontId="6" fillId="0" borderId="8" xfId="0" applyNumberFormat="1" applyFont="1" applyBorder="1" applyAlignment="1">
      <alignment horizontal="center" wrapText="1"/>
    </xf>
    <xf numFmtId="0" fontId="6" fillId="0" borderId="8" xfId="0" applyFont="1" applyBorder="1" applyAlignment="1">
      <alignment horizontal="center" wrapText="1"/>
    </xf>
    <xf numFmtId="0" fontId="6" fillId="0" borderId="9" xfId="0" applyFont="1" applyBorder="1" applyAlignment="1">
      <alignment horizontal="center" wrapText="1"/>
    </xf>
    <xf numFmtId="0" fontId="0" fillId="0" borderId="0" xfId="0" pivotButton="1"/>
    <xf numFmtId="0" fontId="0" fillId="0" borderId="0" xfId="0" applyAlignment="1">
      <alignment horizontal="left"/>
    </xf>
    <xf numFmtId="0" fontId="0" fillId="0" borderId="0" xfId="0" applyAlignment="1">
      <alignment horizontal="left" vertical="top" wrapText="1"/>
    </xf>
    <xf numFmtId="0" fontId="2" fillId="0" borderId="0" xfId="0" applyFont="1" applyAlignment="1">
      <alignment horizontal="center" wrapText="1"/>
    </xf>
    <xf numFmtId="0" fontId="0" fillId="0" borderId="0" xfId="0" applyAlignment="1">
      <alignment horizontal="center"/>
    </xf>
    <xf numFmtId="0" fontId="1" fillId="0" borderId="0" xfId="0" applyFont="1" applyAlignment="1">
      <alignment horizontal="left" vertical="center" wrapText="1"/>
    </xf>
    <xf numFmtId="0" fontId="0" fillId="0" borderId="0" xfId="0" applyNumberFormat="1" applyAlignment="1">
      <alignment horizontal="left" vertical="top" wrapText="1"/>
    </xf>
    <xf numFmtId="0" fontId="0" fillId="0" borderId="0" xfId="0" applyNumberFormat="1" applyAlignment="1">
      <alignment vertical="top" wrapText="1"/>
    </xf>
    <xf numFmtId="0" fontId="0" fillId="0" borderId="0" xfId="0" applyAlignment="1">
      <alignment horizontal="left" vertical="top"/>
    </xf>
    <xf numFmtId="0" fontId="0" fillId="0" borderId="0" xfId="0" applyNumberFormat="1"/>
  </cellXfs>
  <cellStyles count="1">
    <cellStyle name="Normal" xfId="0" builtinId="0"/>
  </cellStyles>
  <dxfs count="15">
    <dxf>
      <font>
        <b val="0"/>
        <i val="0"/>
        <strike val="0"/>
        <condense val="0"/>
        <extend val="0"/>
        <outline val="0"/>
        <shadow val="0"/>
        <u val="none"/>
        <vertAlign val="baseline"/>
        <sz val="10"/>
        <color theme="1"/>
        <name val="Arial"/>
        <family val="2"/>
        <scheme val="none"/>
      </font>
      <alignment horizontal="center" vertical="bottom" textRotation="0" wrapText="1" indent="0" justifyLastLine="0" shrinkToFit="0" readingOrder="0"/>
      <border diagonalUp="0" diagonalDown="0">
        <left style="medium">
          <color rgb="FFCCCCCC"/>
        </left>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alignment horizontal="center"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alignment horizontal="center"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alignment horizontal="center"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alignment horizontal="center"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alignment horizontal="center"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alignment horizontal="center"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alignment horizontal="center"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numFmt numFmtId="19" formatCode="dd/mm/yyyy"/>
      <alignment horizontal="center"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alignment horizontal="center" vertical="bottom" textRotation="0" wrapText="1" indent="0" justifyLastLine="0" shrinkToFit="0" readingOrder="0"/>
      <border diagonalUp="0" diagonalDown="0">
        <left/>
        <right style="medium">
          <color rgb="FFCCCCCC"/>
        </right>
        <top style="medium">
          <color rgb="FFCCCCCC"/>
        </top>
        <bottom style="medium">
          <color rgb="FFCCCCCC"/>
        </bottom>
        <vertical/>
        <horizontal/>
      </border>
    </dxf>
    <dxf>
      <border outline="0">
        <top style="medium">
          <color rgb="FFCCCCCC"/>
        </top>
      </border>
    </dxf>
    <dxf>
      <border outline="0">
        <bottom style="medium">
          <color rgb="FFCCCCCC"/>
        </bottom>
      </border>
    </dxf>
    <dxf>
      <border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Arial"/>
        <family val="2"/>
        <scheme val="none"/>
      </font>
      <alignment horizontal="center" vertical="bottom" textRotation="0" wrapText="1" indent="0" justifyLastLine="0" shrinkToFit="0" readingOrder="0"/>
    </dxf>
    <dxf>
      <font>
        <b/>
        <i val="0"/>
        <strike val="0"/>
        <condense val="0"/>
        <extend val="0"/>
        <outline val="0"/>
        <shadow val="0"/>
        <u val="none"/>
        <vertAlign val="baseline"/>
        <sz val="10"/>
        <color theme="1"/>
        <name val="Arial"/>
        <family val="2"/>
        <scheme val="none"/>
      </font>
      <alignment horizontal="center" vertical="bottom" textRotation="0" wrapText="1" indent="0" justifyLastLine="0" shrinkToFit="0" readingOrder="0"/>
      <border diagonalUp="0" diagonalDown="0" outline="0">
        <left style="medium">
          <color rgb="FFCCCCCC"/>
        </left>
        <right style="medium">
          <color rgb="FFCCCCCC"/>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Accidents by Location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9867872758023781E-2"/>
          <c:y val="0.24481848184818486"/>
          <c:w val="0.83842827496499883"/>
          <c:h val="0.60205763883474961"/>
        </c:manualLayout>
      </c:layout>
      <c:barChart>
        <c:barDir val="bar"/>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8"/>
              <c:pt idx="0">
                <c:v>Ahmedabad</c:v>
              </c:pt>
              <c:pt idx="1">
                <c:v>Bangalore</c:v>
              </c:pt>
              <c:pt idx="2">
                <c:v>Chennai</c:v>
              </c:pt>
              <c:pt idx="3">
                <c:v>Delhi</c:v>
              </c:pt>
              <c:pt idx="4">
                <c:v>Hyderabad</c:v>
              </c:pt>
              <c:pt idx="5">
                <c:v>Kolkata</c:v>
              </c:pt>
              <c:pt idx="6">
                <c:v>Mumbai</c:v>
              </c:pt>
              <c:pt idx="7">
                <c:v>Pune</c:v>
              </c:pt>
            </c:strLit>
          </c:cat>
          <c:val>
            <c:numLit>
              <c:formatCode>General</c:formatCode>
              <c:ptCount val="8"/>
              <c:pt idx="0">
                <c:v>9</c:v>
              </c:pt>
              <c:pt idx="1">
                <c:v>14</c:v>
              </c:pt>
              <c:pt idx="2">
                <c:v>12</c:v>
              </c:pt>
              <c:pt idx="3">
                <c:v>9</c:v>
              </c:pt>
              <c:pt idx="4">
                <c:v>17</c:v>
              </c:pt>
              <c:pt idx="5">
                <c:v>13</c:v>
              </c:pt>
              <c:pt idx="6">
                <c:v>15</c:v>
              </c:pt>
              <c:pt idx="7">
                <c:v>11</c:v>
              </c:pt>
            </c:numLit>
          </c:val>
          <c:extLst>
            <c:ext xmlns:c16="http://schemas.microsoft.com/office/drawing/2014/chart" uri="{C3380CC4-5D6E-409C-BE32-E72D297353CC}">
              <c16:uniqueId val="{00000000-5D0E-4C2A-BAE0-158B3956B5EB}"/>
            </c:ext>
          </c:extLst>
        </c:ser>
        <c:dLbls>
          <c:dLblPos val="inEnd"/>
          <c:showLegendKey val="0"/>
          <c:showVal val="1"/>
          <c:showCatName val="0"/>
          <c:showSerName val="0"/>
          <c:showPercent val="0"/>
          <c:showBubbleSize val="0"/>
        </c:dLbls>
        <c:gapWidth val="219"/>
        <c:axId val="1940396975"/>
        <c:axId val="1940399855"/>
      </c:barChart>
      <c:catAx>
        <c:axId val="19403969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0399855"/>
        <c:crosses val="autoZero"/>
        <c:auto val="1"/>
        <c:lblAlgn val="ctr"/>
        <c:lblOffset val="100"/>
        <c:noMultiLvlLbl val="0"/>
      </c:catAx>
      <c:valAx>
        <c:axId val="194039985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03969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Accident Severity Distribution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v>Total</c:v>
          </c:tx>
          <c:dPt>
            <c:idx val="0"/>
            <c:bubble3D val="0"/>
            <c:spPr>
              <a:solidFill>
                <a:schemeClr val="accent1"/>
              </a:solidFill>
              <a:ln>
                <a:noFill/>
              </a:ln>
              <a:effectLst/>
            </c:spPr>
            <c:extLst>
              <c:ext xmlns:c16="http://schemas.microsoft.com/office/drawing/2014/chart" uri="{C3380CC4-5D6E-409C-BE32-E72D297353CC}">
                <c16:uniqueId val="{00000001-73D8-497B-86B0-F1CCA447866B}"/>
              </c:ext>
            </c:extLst>
          </c:dPt>
          <c:dPt>
            <c:idx val="1"/>
            <c:bubble3D val="0"/>
            <c:spPr>
              <a:solidFill>
                <a:schemeClr val="accent2"/>
              </a:solidFill>
              <a:ln>
                <a:noFill/>
              </a:ln>
              <a:effectLst/>
            </c:spPr>
            <c:extLst>
              <c:ext xmlns:c16="http://schemas.microsoft.com/office/drawing/2014/chart" uri="{C3380CC4-5D6E-409C-BE32-E72D297353CC}">
                <c16:uniqueId val="{00000003-73D8-497B-86B0-F1CCA447866B}"/>
              </c:ext>
            </c:extLst>
          </c:dPt>
          <c:dPt>
            <c:idx val="2"/>
            <c:bubble3D val="0"/>
            <c:spPr>
              <a:solidFill>
                <a:schemeClr val="accent3"/>
              </a:solidFill>
              <a:ln>
                <a:noFill/>
              </a:ln>
              <a:effectLst/>
            </c:spPr>
            <c:extLst>
              <c:ext xmlns:c16="http://schemas.microsoft.com/office/drawing/2014/chart" uri="{C3380CC4-5D6E-409C-BE32-E72D297353CC}">
                <c16:uniqueId val="{00000005-73D8-497B-86B0-F1CCA447866B}"/>
              </c:ext>
            </c:extLst>
          </c:dPt>
          <c:dPt>
            <c:idx val="3"/>
            <c:bubble3D val="0"/>
            <c:spPr>
              <a:solidFill>
                <a:schemeClr val="accent4"/>
              </a:solidFill>
              <a:ln>
                <a:noFill/>
              </a:ln>
              <a:effectLst/>
            </c:spPr>
            <c:extLst>
              <c:ext xmlns:c16="http://schemas.microsoft.com/office/drawing/2014/chart" uri="{C3380CC4-5D6E-409C-BE32-E72D297353CC}">
                <c16:uniqueId val="{00000007-73D8-497B-86B0-F1CCA447866B}"/>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Lit>
              <c:ptCount val="4"/>
              <c:pt idx="0">
                <c:v>Fatal</c:v>
              </c:pt>
              <c:pt idx="1">
                <c:v>Minor</c:v>
              </c:pt>
              <c:pt idx="2">
                <c:v>Moderate</c:v>
              </c:pt>
              <c:pt idx="3">
                <c:v>Severe</c:v>
              </c:pt>
            </c:strLit>
          </c:cat>
          <c:val>
            <c:numLit>
              <c:formatCode>General</c:formatCode>
              <c:ptCount val="4"/>
              <c:pt idx="0">
                <c:v>24</c:v>
              </c:pt>
              <c:pt idx="1">
                <c:v>26</c:v>
              </c:pt>
              <c:pt idx="2">
                <c:v>22</c:v>
              </c:pt>
              <c:pt idx="3">
                <c:v>28</c:v>
              </c:pt>
            </c:numLit>
          </c:val>
          <c:extLst>
            <c:ext xmlns:c16="http://schemas.microsoft.com/office/drawing/2014/chart" uri="{C3380CC4-5D6E-409C-BE32-E72D297353CC}">
              <c16:uniqueId val="{00000008-73D8-497B-86B0-F1CCA447866B}"/>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Accidents by Vehicle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6"/>
              <c:pt idx="0">
                <c:v>Auto-Rickshaw</c:v>
              </c:pt>
              <c:pt idx="1">
                <c:v>Bicycle</c:v>
              </c:pt>
              <c:pt idx="2">
                <c:v>Bus</c:v>
              </c:pt>
              <c:pt idx="3">
                <c:v>Car</c:v>
              </c:pt>
              <c:pt idx="4">
                <c:v>Motorcycle</c:v>
              </c:pt>
              <c:pt idx="5">
                <c:v>Truck</c:v>
              </c:pt>
            </c:strLit>
          </c:cat>
          <c:val>
            <c:numLit>
              <c:formatCode>General</c:formatCode>
              <c:ptCount val="6"/>
              <c:pt idx="0">
                <c:v>19</c:v>
              </c:pt>
              <c:pt idx="1">
                <c:v>15</c:v>
              </c:pt>
              <c:pt idx="2">
                <c:v>11</c:v>
              </c:pt>
              <c:pt idx="3">
                <c:v>22</c:v>
              </c:pt>
              <c:pt idx="4">
                <c:v>21</c:v>
              </c:pt>
              <c:pt idx="5">
                <c:v>12</c:v>
              </c:pt>
            </c:numLit>
          </c:val>
          <c:extLst>
            <c:ext xmlns:c16="http://schemas.microsoft.com/office/drawing/2014/chart" uri="{C3380CC4-5D6E-409C-BE32-E72D297353CC}">
              <c16:uniqueId val="{00000000-222A-4648-BE15-82646B435545}"/>
            </c:ext>
          </c:extLst>
        </c:ser>
        <c:dLbls>
          <c:dLblPos val="outEnd"/>
          <c:showLegendKey val="0"/>
          <c:showVal val="1"/>
          <c:showCatName val="0"/>
          <c:showSerName val="0"/>
          <c:showPercent val="0"/>
          <c:showBubbleSize val="0"/>
        </c:dLbls>
        <c:gapWidth val="219"/>
        <c:axId val="1940406575"/>
        <c:axId val="1940409455"/>
      </c:barChart>
      <c:catAx>
        <c:axId val="1940406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0409455"/>
        <c:crosses val="autoZero"/>
        <c:auto val="1"/>
        <c:lblAlgn val="ctr"/>
        <c:lblOffset val="100"/>
        <c:noMultiLvlLbl val="0"/>
      </c:catAx>
      <c:valAx>
        <c:axId val="19404094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04065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Accidents by Weather Condition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0883716193798685E-2"/>
          <c:y val="0.18158678718214888"/>
          <c:w val="0.78716548512831241"/>
          <c:h val="0.72088764946048411"/>
        </c:manualLayout>
      </c:layout>
      <c:barChart>
        <c:barDir val="bar"/>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4"/>
              <c:pt idx="0">
                <c:v>Clear</c:v>
              </c:pt>
              <c:pt idx="1">
                <c:v>Foggy</c:v>
              </c:pt>
              <c:pt idx="2">
                <c:v>Rainy</c:v>
              </c:pt>
              <c:pt idx="3">
                <c:v>Windy</c:v>
              </c:pt>
            </c:strLit>
          </c:cat>
          <c:val>
            <c:numLit>
              <c:formatCode>General</c:formatCode>
              <c:ptCount val="4"/>
              <c:pt idx="0">
                <c:v>30</c:v>
              </c:pt>
              <c:pt idx="1">
                <c:v>23</c:v>
              </c:pt>
              <c:pt idx="2">
                <c:v>22</c:v>
              </c:pt>
              <c:pt idx="3">
                <c:v>25</c:v>
              </c:pt>
            </c:numLit>
          </c:val>
          <c:extLst>
            <c:ext xmlns:c16="http://schemas.microsoft.com/office/drawing/2014/chart" uri="{C3380CC4-5D6E-409C-BE32-E72D297353CC}">
              <c16:uniqueId val="{00000000-5CF4-4763-BCAA-8F01B60DBF6D}"/>
            </c:ext>
          </c:extLst>
        </c:ser>
        <c:dLbls>
          <c:dLblPos val="outEnd"/>
          <c:showLegendKey val="0"/>
          <c:showVal val="1"/>
          <c:showCatName val="0"/>
          <c:showSerName val="0"/>
          <c:showPercent val="0"/>
          <c:showBubbleSize val="0"/>
        </c:dLbls>
        <c:gapWidth val="219"/>
        <c:axId val="1679860847"/>
        <c:axId val="1679872367"/>
      </c:barChart>
      <c:catAx>
        <c:axId val="16798608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9872367"/>
        <c:crosses val="autoZero"/>
        <c:auto val="1"/>
        <c:lblAlgn val="ctr"/>
        <c:lblOffset val="100"/>
        <c:noMultiLvlLbl val="0"/>
      </c:catAx>
      <c:valAx>
        <c:axId val="167987236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98608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6</xdr:row>
      <xdr:rowOff>0</xdr:rowOff>
    </xdr:from>
    <xdr:to>
      <xdr:col>2</xdr:col>
      <xdr:colOff>3810</xdr:colOff>
      <xdr:row>19</xdr:row>
      <xdr:rowOff>22860</xdr:rowOff>
    </xdr:to>
    <xdr:graphicFrame macro="">
      <xdr:nvGraphicFramePr>
        <xdr:cNvPr id="2" name="Chart 1">
          <a:extLst>
            <a:ext uri="{FF2B5EF4-FFF2-40B4-BE49-F238E27FC236}">
              <a16:creationId xmlns:a16="http://schemas.microsoft.com/office/drawing/2014/main" id="{CAF196E2-62A5-444B-9B59-BEA0E90B2A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3810</xdr:colOff>
      <xdr:row>6</xdr:row>
      <xdr:rowOff>0</xdr:rowOff>
    </xdr:from>
    <xdr:to>
      <xdr:col>6</xdr:col>
      <xdr:colOff>7620</xdr:colOff>
      <xdr:row>18</xdr:row>
      <xdr:rowOff>175260</xdr:rowOff>
    </xdr:to>
    <xdr:graphicFrame macro="">
      <xdr:nvGraphicFramePr>
        <xdr:cNvPr id="3" name="Chart 2">
          <a:extLst>
            <a:ext uri="{FF2B5EF4-FFF2-40B4-BE49-F238E27FC236}">
              <a16:creationId xmlns:a16="http://schemas.microsoft.com/office/drawing/2014/main" id="{C9D4CA63-9F65-4E32-90C5-81D945BDFE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21</xdr:row>
      <xdr:rowOff>0</xdr:rowOff>
    </xdr:from>
    <xdr:to>
      <xdr:col>2</xdr:col>
      <xdr:colOff>3810</xdr:colOff>
      <xdr:row>34</xdr:row>
      <xdr:rowOff>30480</xdr:rowOff>
    </xdr:to>
    <xdr:graphicFrame macro="">
      <xdr:nvGraphicFramePr>
        <xdr:cNvPr id="6" name="Chart 5">
          <a:extLst>
            <a:ext uri="{FF2B5EF4-FFF2-40B4-BE49-F238E27FC236}">
              <a16:creationId xmlns:a16="http://schemas.microsoft.com/office/drawing/2014/main" id="{9286E4B4-AE8B-42D4-B158-2CA7AF0F20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3810</xdr:colOff>
      <xdr:row>21</xdr:row>
      <xdr:rowOff>7620</xdr:rowOff>
    </xdr:from>
    <xdr:to>
      <xdr:col>6</xdr:col>
      <xdr:colOff>57150</xdr:colOff>
      <xdr:row>34</xdr:row>
      <xdr:rowOff>7620</xdr:rowOff>
    </xdr:to>
    <xdr:graphicFrame macro="">
      <xdr:nvGraphicFramePr>
        <xdr:cNvPr id="7" name="Chart 6">
          <a:extLst>
            <a:ext uri="{FF2B5EF4-FFF2-40B4-BE49-F238E27FC236}">
              <a16:creationId xmlns:a16="http://schemas.microsoft.com/office/drawing/2014/main" id="{CFBEEE05-C6F4-466B-B395-BEB5E64D46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3</xdr:col>
      <xdr:colOff>7620</xdr:colOff>
      <xdr:row>36</xdr:row>
      <xdr:rowOff>30480</xdr:rowOff>
    </xdr:from>
    <xdr:to>
      <xdr:col>4</xdr:col>
      <xdr:colOff>605790</xdr:colOff>
      <xdr:row>49</xdr:row>
      <xdr:rowOff>7619</xdr:rowOff>
    </xdr:to>
    <mc:AlternateContent xmlns:mc="http://schemas.openxmlformats.org/markup-compatibility/2006">
      <mc:Choice xmlns:a14="http://schemas.microsoft.com/office/drawing/2010/main" Requires="a14">
        <xdr:graphicFrame macro="">
          <xdr:nvGraphicFramePr>
            <xdr:cNvPr id="8" name="Severity">
              <a:extLst>
                <a:ext uri="{FF2B5EF4-FFF2-40B4-BE49-F238E27FC236}">
                  <a16:creationId xmlns:a16="http://schemas.microsoft.com/office/drawing/2014/main" id="{C01A7D4D-FD52-4977-8915-20F2830D5B7D}"/>
                </a:ext>
              </a:extLst>
            </xdr:cNvPr>
            <xdr:cNvGraphicFramePr/>
          </xdr:nvGraphicFramePr>
          <xdr:xfrm>
            <a:off x="0" y="0"/>
            <a:ext cx="0" cy="0"/>
          </xdr:xfrm>
          <a:graphic>
            <a:graphicData uri="http://schemas.microsoft.com/office/drawing/2010/slicer">
              <sle:slicer xmlns:sle="http://schemas.microsoft.com/office/drawing/2010/slicer" name="Severity"/>
            </a:graphicData>
          </a:graphic>
        </xdr:graphicFrame>
      </mc:Choice>
      <mc:Fallback>
        <xdr:sp macro="" textlink="">
          <xdr:nvSpPr>
            <xdr:cNvPr id="0" name=""/>
            <xdr:cNvSpPr>
              <a:spLocks noTextEdit="1"/>
            </xdr:cNvSpPr>
          </xdr:nvSpPr>
          <xdr:spPr>
            <a:xfrm>
              <a:off x="3672840" y="6614160"/>
              <a:ext cx="2415540" cy="23545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0</xdr:colOff>
      <xdr:row>51</xdr:row>
      <xdr:rowOff>0</xdr:rowOff>
    </xdr:from>
    <xdr:to>
      <xdr:col>4</xdr:col>
      <xdr:colOff>605790</xdr:colOff>
      <xdr:row>64</xdr:row>
      <xdr:rowOff>89535</xdr:rowOff>
    </xdr:to>
    <mc:AlternateContent xmlns:mc="http://schemas.openxmlformats.org/markup-compatibility/2006">
      <mc:Choice xmlns:a14="http://schemas.microsoft.com/office/drawing/2010/main" Requires="a14">
        <xdr:graphicFrame macro="">
          <xdr:nvGraphicFramePr>
            <xdr:cNvPr id="10" name="Weather Condition">
              <a:extLst>
                <a:ext uri="{FF2B5EF4-FFF2-40B4-BE49-F238E27FC236}">
                  <a16:creationId xmlns:a16="http://schemas.microsoft.com/office/drawing/2014/main" id="{7B65F6A0-0723-4195-8174-5CD8A73DC1B8}"/>
                </a:ext>
              </a:extLst>
            </xdr:cNvPr>
            <xdr:cNvGraphicFramePr/>
          </xdr:nvGraphicFramePr>
          <xdr:xfrm>
            <a:off x="0" y="0"/>
            <a:ext cx="0" cy="0"/>
          </xdr:xfrm>
          <a:graphic>
            <a:graphicData uri="http://schemas.microsoft.com/office/drawing/2010/slicer">
              <sle:slicer xmlns:sle="http://schemas.microsoft.com/office/drawing/2010/slicer" name="Weather Condition"/>
            </a:graphicData>
          </a:graphic>
        </xdr:graphicFrame>
      </mc:Choice>
      <mc:Fallback>
        <xdr:sp macro="" textlink="">
          <xdr:nvSpPr>
            <xdr:cNvPr id="0" name=""/>
            <xdr:cNvSpPr>
              <a:spLocks noTextEdit="1"/>
            </xdr:cNvSpPr>
          </xdr:nvSpPr>
          <xdr:spPr>
            <a:xfrm>
              <a:off x="3657600" y="9326880"/>
              <a:ext cx="243078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51</xdr:row>
      <xdr:rowOff>0</xdr:rowOff>
    </xdr:from>
    <xdr:to>
      <xdr:col>2</xdr:col>
      <xdr:colOff>7620</xdr:colOff>
      <xdr:row>64</xdr:row>
      <xdr:rowOff>89535</xdr:rowOff>
    </xdr:to>
    <mc:AlternateContent xmlns:mc="http://schemas.openxmlformats.org/markup-compatibility/2006">
      <mc:Choice xmlns:a14="http://schemas.microsoft.com/office/drawing/2010/main" Requires="a14">
        <xdr:graphicFrame macro="">
          <xdr:nvGraphicFramePr>
            <xdr:cNvPr id="12" name="Vehicle Type">
              <a:extLst>
                <a:ext uri="{FF2B5EF4-FFF2-40B4-BE49-F238E27FC236}">
                  <a16:creationId xmlns:a16="http://schemas.microsoft.com/office/drawing/2014/main" id="{24535A69-3CB4-4AF2-856D-2DB2D0015CBF}"/>
                </a:ext>
              </a:extLst>
            </xdr:cNvPr>
            <xdr:cNvGraphicFramePr/>
          </xdr:nvGraphicFramePr>
          <xdr:xfrm>
            <a:off x="0" y="0"/>
            <a:ext cx="0" cy="0"/>
          </xdr:xfrm>
          <a:graphic>
            <a:graphicData uri="http://schemas.microsoft.com/office/drawing/2010/slicer">
              <sle:slicer xmlns:sle="http://schemas.microsoft.com/office/drawing/2010/slicer" name="Vehicle Type"/>
            </a:graphicData>
          </a:graphic>
        </xdr:graphicFrame>
      </mc:Choice>
      <mc:Fallback>
        <xdr:sp macro="" textlink="">
          <xdr:nvSpPr>
            <xdr:cNvPr id="0" name=""/>
            <xdr:cNvSpPr>
              <a:spLocks noTextEdit="1"/>
            </xdr:cNvSpPr>
          </xdr:nvSpPr>
          <xdr:spPr>
            <a:xfrm>
              <a:off x="0" y="9326880"/>
              <a:ext cx="245364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36</xdr:row>
      <xdr:rowOff>1</xdr:rowOff>
    </xdr:from>
    <xdr:to>
      <xdr:col>2</xdr:col>
      <xdr:colOff>0</xdr:colOff>
      <xdr:row>49</xdr:row>
      <xdr:rowOff>15240</xdr:rowOff>
    </xdr:to>
    <mc:AlternateContent xmlns:mc="http://schemas.openxmlformats.org/markup-compatibility/2006">
      <mc:Choice xmlns:a14="http://schemas.microsoft.com/office/drawing/2010/main" Requires="a14">
        <xdr:graphicFrame macro="">
          <xdr:nvGraphicFramePr>
            <xdr:cNvPr id="13" name="Location">
              <a:extLst>
                <a:ext uri="{FF2B5EF4-FFF2-40B4-BE49-F238E27FC236}">
                  <a16:creationId xmlns:a16="http://schemas.microsoft.com/office/drawing/2014/main" id="{A62F457C-C700-43CE-AEEB-C3B88E9B8B42}"/>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dr:sp macro="" textlink="">
          <xdr:nvSpPr>
            <xdr:cNvPr id="0" name=""/>
            <xdr:cNvSpPr>
              <a:spLocks noTextEdit="1"/>
            </xdr:cNvSpPr>
          </xdr:nvSpPr>
          <xdr:spPr>
            <a:xfrm>
              <a:off x="0" y="6583681"/>
              <a:ext cx="2438400" cy="23926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68.598811458331" createdVersion="8" refreshedVersion="8" minRefreshableVersion="3" recordCount="100" xr:uid="{BE2A9595-D67A-47A0-8106-2C122A544796}">
  <cacheSource type="worksheet">
    <worksheetSource name="Table1"/>
  </cacheSource>
  <cacheFields count="10">
    <cacheField name="Accident ID" numFmtId="0">
      <sharedItems count="100">
        <s v="AID0001"/>
        <s v="AID0002"/>
        <s v="AID0003"/>
        <s v="AID0004"/>
        <s v="AID0005"/>
        <s v="AID0006"/>
        <s v="AID0007"/>
        <s v="AID0008"/>
        <s v="AID0009"/>
        <s v="AID0010"/>
        <s v="AID0011"/>
        <s v="AID0012"/>
        <s v="AID0013"/>
        <s v="AID0014"/>
        <s v="AID0015"/>
        <s v="AID0016"/>
        <s v="AID0017"/>
        <s v="AID0018"/>
        <s v="AID0019"/>
        <s v="AID0020"/>
        <s v="AID0021"/>
        <s v="AID0022"/>
        <s v="AID0023"/>
        <s v="AID0024"/>
        <s v="AID0025"/>
        <s v="AID0026"/>
        <s v="AID0027"/>
        <s v="AID0028"/>
        <s v="AID0029"/>
        <s v="AID0030"/>
        <s v="AID0031"/>
        <s v="AID0032"/>
        <s v="AID0033"/>
        <s v="AID0034"/>
        <s v="AID0035"/>
        <s v="AID0036"/>
        <s v="AID0037"/>
        <s v="AID0038"/>
        <s v="AID0039"/>
        <s v="AID0040"/>
        <s v="AID0041"/>
        <s v="AID0042"/>
        <s v="AID0043"/>
        <s v="AID0044"/>
        <s v="AID0045"/>
        <s v="AID0046"/>
        <s v="AID0047"/>
        <s v="AID0048"/>
        <s v="AID0049"/>
        <s v="AID0050"/>
        <s v="AID0051"/>
        <s v="AID0052"/>
        <s v="AID0053"/>
        <s v="AID0054"/>
        <s v="AID0055"/>
        <s v="AID0056"/>
        <s v="AID0057"/>
        <s v="AID0058"/>
        <s v="AID0059"/>
        <s v="AID0060"/>
        <s v="AID0061"/>
        <s v="AID0062"/>
        <s v="AID0063"/>
        <s v="AID0064"/>
        <s v="AID0065"/>
        <s v="AID0066"/>
        <s v="AID0067"/>
        <s v="AID0068"/>
        <s v="AID0069"/>
        <s v="AID0070"/>
        <s v="AID0071"/>
        <s v="AID0072"/>
        <s v="AID0073"/>
        <s v="AID0074"/>
        <s v="AID0075"/>
        <s v="AID0076"/>
        <s v="AID0077"/>
        <s v="AID0078"/>
        <s v="AID0079"/>
        <s v="AID0080"/>
        <s v="AID0081"/>
        <s v="AID0082"/>
        <s v="AID0083"/>
        <s v="AID0084"/>
        <s v="AID0085"/>
        <s v="AID0086"/>
        <s v="AID0087"/>
        <s v="AID0088"/>
        <s v="AID0089"/>
        <s v="AID0090"/>
        <s v="AID0091"/>
        <s v="AID0092"/>
        <s v="AID0093"/>
        <s v="AID0094"/>
        <s v="AID0095"/>
        <s v="AID0096"/>
        <s v="AID0097"/>
        <s v="AID0098"/>
        <s v="AID0099"/>
        <s v="AID0100"/>
      </sharedItems>
    </cacheField>
    <cacheField name="Date" numFmtId="14">
      <sharedItems containsSemiMixedTypes="0" containsNonDate="0" containsDate="1" containsString="0" minDate="2024-01-01T00:00:00" maxDate="2024-06-27T00:00:00"/>
    </cacheField>
    <cacheField name="Location" numFmtId="0">
      <sharedItems count="8">
        <s v="Hyderabad"/>
        <s v="Mumbai"/>
        <s v="Pune"/>
        <s v="Bangalore"/>
        <s v="Delhi"/>
        <s v="Ahmedabad"/>
        <s v="Chennai"/>
        <s v="Kolkata"/>
      </sharedItems>
    </cacheField>
    <cacheField name="Accident Type" numFmtId="0">
      <sharedItems/>
    </cacheField>
    <cacheField name="Vehicle Type" numFmtId="0">
      <sharedItems count="6">
        <s v="Auto-Rickshaw"/>
        <s v="Bicycle"/>
        <s v="Truck"/>
        <s v="Car"/>
        <s v="Motorcycle"/>
        <s v="Bus"/>
      </sharedItems>
    </cacheField>
    <cacheField name="Weather Condition" numFmtId="0">
      <sharedItems count="4">
        <s v="Clear"/>
        <s v="Foggy"/>
        <s v="Windy"/>
        <s v="Rainy"/>
      </sharedItems>
    </cacheField>
    <cacheField name="Road Condition" numFmtId="0">
      <sharedItems/>
    </cacheField>
    <cacheField name="Severity" numFmtId="0">
      <sharedItems count="4">
        <s v="Moderate"/>
        <s v="Fatal"/>
        <s v="Minor"/>
        <s v="Severe"/>
      </sharedItems>
    </cacheField>
    <cacheField name="Cause" numFmtId="0">
      <sharedItems/>
    </cacheField>
    <cacheField name="Casualties" numFmtId="0">
      <sharedItems containsSemiMixedTypes="0" containsString="0" containsNumber="1" containsInteger="1" minValue="0" maxValue="5"/>
    </cacheField>
  </cacheFields>
  <extLst>
    <ext xmlns:x14="http://schemas.microsoft.com/office/spreadsheetml/2009/9/main" uri="{725AE2AE-9491-48be-B2B4-4EB974FC3084}">
      <x14:pivotCacheDefinition pivotCacheId="58347108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d v="2024-01-01T00:00:00"/>
    <x v="0"/>
    <s v="Overturn"/>
    <x v="0"/>
    <x v="0"/>
    <s v="Dry"/>
    <x v="0"/>
    <s v="Overtaking"/>
    <n v="0"/>
  </r>
  <r>
    <x v="1"/>
    <d v="2024-03-29T00:00:00"/>
    <x v="1"/>
    <s v="Overturn"/>
    <x v="0"/>
    <x v="1"/>
    <s v="Damaged"/>
    <x v="0"/>
    <s v="Distracted Driving"/>
    <n v="0"/>
  </r>
  <r>
    <x v="2"/>
    <d v="2024-01-05T00:00:00"/>
    <x v="1"/>
    <s v="Overturn"/>
    <x v="1"/>
    <x v="2"/>
    <s v="Under Construction"/>
    <x v="1"/>
    <s v="Overtaking"/>
    <n v="3"/>
  </r>
  <r>
    <x v="3"/>
    <d v="2024-06-02T00:00:00"/>
    <x v="2"/>
    <s v="Collision"/>
    <x v="2"/>
    <x v="0"/>
    <s v="Dry"/>
    <x v="1"/>
    <s v="Brake Failure"/>
    <n v="4"/>
  </r>
  <r>
    <x v="4"/>
    <d v="2024-02-28T00:00:00"/>
    <x v="3"/>
    <s v="Animal Hit"/>
    <x v="0"/>
    <x v="0"/>
    <s v="Damaged"/>
    <x v="0"/>
    <s v="Weather"/>
    <n v="0"/>
  </r>
  <r>
    <x v="5"/>
    <d v="2024-04-17T00:00:00"/>
    <x v="3"/>
    <s v="Animal Hit"/>
    <x v="3"/>
    <x v="3"/>
    <s v="Damaged"/>
    <x v="2"/>
    <s v="Drunk Driving"/>
    <n v="4"/>
  </r>
  <r>
    <x v="6"/>
    <d v="2024-02-16T00:00:00"/>
    <x v="4"/>
    <s v="Animal Hit"/>
    <x v="3"/>
    <x v="3"/>
    <s v="Dry"/>
    <x v="2"/>
    <s v="Speeding"/>
    <n v="2"/>
  </r>
  <r>
    <x v="7"/>
    <d v="2024-03-18T00:00:00"/>
    <x v="0"/>
    <s v="Overturn"/>
    <x v="3"/>
    <x v="1"/>
    <s v="Wet"/>
    <x v="0"/>
    <s v="Speeding"/>
    <n v="5"/>
  </r>
  <r>
    <x v="8"/>
    <d v="2024-05-13T00:00:00"/>
    <x v="1"/>
    <s v="Collision"/>
    <x v="3"/>
    <x v="2"/>
    <s v="Under Construction"/>
    <x v="2"/>
    <s v="Weather"/>
    <n v="2"/>
  </r>
  <r>
    <x v="9"/>
    <d v="2024-01-16T00:00:00"/>
    <x v="5"/>
    <s v="Collision"/>
    <x v="4"/>
    <x v="0"/>
    <s v="Under Construction"/>
    <x v="3"/>
    <s v="Speeding"/>
    <n v="5"/>
  </r>
  <r>
    <x v="10"/>
    <d v="2024-01-08T00:00:00"/>
    <x v="2"/>
    <s v="Object Hit"/>
    <x v="0"/>
    <x v="0"/>
    <s v="Damaged"/>
    <x v="1"/>
    <s v="Overtaking"/>
    <n v="0"/>
  </r>
  <r>
    <x v="11"/>
    <d v="2024-06-25T00:00:00"/>
    <x v="5"/>
    <s v="Pedestrian Hit"/>
    <x v="3"/>
    <x v="0"/>
    <s v="Under Construction"/>
    <x v="3"/>
    <s v="Overtaking"/>
    <n v="3"/>
  </r>
  <r>
    <x v="12"/>
    <d v="2024-03-29T00:00:00"/>
    <x v="3"/>
    <s v="Pedestrian Hit"/>
    <x v="1"/>
    <x v="3"/>
    <s v="Wet"/>
    <x v="3"/>
    <s v="Speeding"/>
    <n v="1"/>
  </r>
  <r>
    <x v="13"/>
    <d v="2024-04-02T00:00:00"/>
    <x v="6"/>
    <s v="Overturn"/>
    <x v="5"/>
    <x v="1"/>
    <s v="Dry"/>
    <x v="3"/>
    <s v="Drunk Driving"/>
    <n v="2"/>
  </r>
  <r>
    <x v="14"/>
    <d v="2024-03-27T00:00:00"/>
    <x v="6"/>
    <s v="Pedestrian Hit"/>
    <x v="4"/>
    <x v="1"/>
    <s v="Under Construction"/>
    <x v="0"/>
    <s v="Brake Failure"/>
    <n v="1"/>
  </r>
  <r>
    <x v="15"/>
    <d v="2024-05-19T00:00:00"/>
    <x v="6"/>
    <s v="Overturn"/>
    <x v="2"/>
    <x v="1"/>
    <s v="Damaged"/>
    <x v="3"/>
    <s v="Distracted Driving"/>
    <n v="5"/>
  </r>
  <r>
    <x v="16"/>
    <d v="2024-03-03T00:00:00"/>
    <x v="0"/>
    <s v="Collision"/>
    <x v="4"/>
    <x v="2"/>
    <s v="Under Construction"/>
    <x v="0"/>
    <s v="Distracted Driving"/>
    <n v="4"/>
  </r>
  <r>
    <x v="17"/>
    <d v="2024-03-08T00:00:00"/>
    <x v="7"/>
    <s v="Overturn"/>
    <x v="3"/>
    <x v="2"/>
    <s v="Under Construction"/>
    <x v="0"/>
    <s v="Brake Failure"/>
    <n v="3"/>
  </r>
  <r>
    <x v="18"/>
    <d v="2024-06-26T00:00:00"/>
    <x v="4"/>
    <s v="Overturn"/>
    <x v="4"/>
    <x v="3"/>
    <s v="Wet"/>
    <x v="3"/>
    <s v="Drunk Driving"/>
    <n v="4"/>
  </r>
  <r>
    <x v="19"/>
    <d v="2024-01-26T00:00:00"/>
    <x v="4"/>
    <s v="Collision"/>
    <x v="1"/>
    <x v="3"/>
    <s v="Damaged"/>
    <x v="0"/>
    <s v="Brake Failure"/>
    <n v="5"/>
  </r>
  <r>
    <x v="20"/>
    <d v="2024-02-05T00:00:00"/>
    <x v="2"/>
    <s v="Animal Hit"/>
    <x v="4"/>
    <x v="2"/>
    <s v="Damaged"/>
    <x v="2"/>
    <s v="Distracted Driving"/>
    <n v="5"/>
  </r>
  <r>
    <x v="21"/>
    <d v="2024-06-07T00:00:00"/>
    <x v="0"/>
    <s v="Object Hit"/>
    <x v="2"/>
    <x v="1"/>
    <s v="Under Construction"/>
    <x v="1"/>
    <s v="Weather"/>
    <n v="4"/>
  </r>
  <r>
    <x v="22"/>
    <d v="2024-03-27T00:00:00"/>
    <x v="6"/>
    <s v="Collision"/>
    <x v="1"/>
    <x v="3"/>
    <s v="Under Construction"/>
    <x v="3"/>
    <s v="Weather"/>
    <n v="4"/>
  </r>
  <r>
    <x v="23"/>
    <d v="2024-02-24T00:00:00"/>
    <x v="1"/>
    <s v="Object Hit"/>
    <x v="2"/>
    <x v="3"/>
    <s v="Dry"/>
    <x v="0"/>
    <s v="Overtaking"/>
    <n v="0"/>
  </r>
  <r>
    <x v="24"/>
    <d v="2024-06-04T00:00:00"/>
    <x v="4"/>
    <s v="Animal Hit"/>
    <x v="4"/>
    <x v="3"/>
    <s v="Damaged"/>
    <x v="1"/>
    <s v="Drunk Driving"/>
    <n v="1"/>
  </r>
  <r>
    <x v="25"/>
    <d v="2024-05-30T00:00:00"/>
    <x v="2"/>
    <s v="Collision"/>
    <x v="5"/>
    <x v="0"/>
    <s v="Damaged"/>
    <x v="0"/>
    <s v="Weather"/>
    <n v="0"/>
  </r>
  <r>
    <x v="26"/>
    <d v="2024-04-04T00:00:00"/>
    <x v="0"/>
    <s v="Pedestrian Hit"/>
    <x v="3"/>
    <x v="2"/>
    <s v="Wet"/>
    <x v="1"/>
    <s v="Overtaking"/>
    <n v="0"/>
  </r>
  <r>
    <x v="27"/>
    <d v="2024-05-10T00:00:00"/>
    <x v="0"/>
    <s v="Overturn"/>
    <x v="1"/>
    <x v="1"/>
    <s v="Dry"/>
    <x v="3"/>
    <s v="Brake Failure"/>
    <n v="4"/>
  </r>
  <r>
    <x v="28"/>
    <d v="2024-03-02T00:00:00"/>
    <x v="6"/>
    <s v="Animal Hit"/>
    <x v="0"/>
    <x v="3"/>
    <s v="Damaged"/>
    <x v="3"/>
    <s v="Weather"/>
    <n v="4"/>
  </r>
  <r>
    <x v="29"/>
    <d v="2024-04-16T00:00:00"/>
    <x v="2"/>
    <s v="Pedestrian Hit"/>
    <x v="3"/>
    <x v="1"/>
    <s v="Under Construction"/>
    <x v="3"/>
    <s v="Distracted Driving"/>
    <n v="0"/>
  </r>
  <r>
    <x v="30"/>
    <d v="2024-06-09T00:00:00"/>
    <x v="7"/>
    <s v="Object Hit"/>
    <x v="4"/>
    <x v="3"/>
    <s v="Wet"/>
    <x v="3"/>
    <s v="Overtaking"/>
    <n v="5"/>
  </r>
  <r>
    <x v="31"/>
    <d v="2024-02-25T00:00:00"/>
    <x v="6"/>
    <s v="Pedestrian Hit"/>
    <x v="0"/>
    <x v="3"/>
    <s v="Damaged"/>
    <x v="1"/>
    <s v="Drunk Driving"/>
    <n v="2"/>
  </r>
  <r>
    <x v="32"/>
    <d v="2024-06-24T00:00:00"/>
    <x v="2"/>
    <s v="Object Hit"/>
    <x v="0"/>
    <x v="2"/>
    <s v="Damaged"/>
    <x v="1"/>
    <s v="Distracted Driving"/>
    <n v="1"/>
  </r>
  <r>
    <x v="33"/>
    <d v="2024-04-21T00:00:00"/>
    <x v="7"/>
    <s v="Animal Hit"/>
    <x v="1"/>
    <x v="0"/>
    <s v="Under Construction"/>
    <x v="2"/>
    <s v="Drunk Driving"/>
    <n v="1"/>
  </r>
  <r>
    <x v="34"/>
    <d v="2024-01-02T00:00:00"/>
    <x v="1"/>
    <s v="Overturn"/>
    <x v="2"/>
    <x v="0"/>
    <s v="Wet"/>
    <x v="3"/>
    <s v="Speeding"/>
    <n v="3"/>
  </r>
  <r>
    <x v="35"/>
    <d v="2024-05-24T00:00:00"/>
    <x v="7"/>
    <s v="Animal Hit"/>
    <x v="0"/>
    <x v="0"/>
    <s v="Wet"/>
    <x v="0"/>
    <s v="Distracted Driving"/>
    <n v="4"/>
  </r>
  <r>
    <x v="36"/>
    <d v="2024-01-26T00:00:00"/>
    <x v="5"/>
    <s v="Object Hit"/>
    <x v="4"/>
    <x v="0"/>
    <s v="Under Construction"/>
    <x v="2"/>
    <s v="Overtaking"/>
    <n v="5"/>
  </r>
  <r>
    <x v="37"/>
    <d v="2024-01-23T00:00:00"/>
    <x v="3"/>
    <s v="Overturn"/>
    <x v="0"/>
    <x v="2"/>
    <s v="Under Construction"/>
    <x v="3"/>
    <s v="Speeding"/>
    <n v="0"/>
  </r>
  <r>
    <x v="38"/>
    <d v="2024-04-26T00:00:00"/>
    <x v="2"/>
    <s v="Animal Hit"/>
    <x v="3"/>
    <x v="1"/>
    <s v="Under Construction"/>
    <x v="1"/>
    <s v="Speeding"/>
    <n v="2"/>
  </r>
  <r>
    <x v="39"/>
    <d v="2024-03-14T00:00:00"/>
    <x v="0"/>
    <s v="Overturn"/>
    <x v="0"/>
    <x v="3"/>
    <s v="Damaged"/>
    <x v="1"/>
    <s v="Weather"/>
    <n v="1"/>
  </r>
  <r>
    <x v="40"/>
    <d v="2024-01-10T00:00:00"/>
    <x v="0"/>
    <s v="Animal Hit"/>
    <x v="0"/>
    <x v="0"/>
    <s v="Wet"/>
    <x v="2"/>
    <s v="Brake Failure"/>
    <n v="4"/>
  </r>
  <r>
    <x v="41"/>
    <d v="2024-04-28T00:00:00"/>
    <x v="1"/>
    <s v="Collision"/>
    <x v="3"/>
    <x v="1"/>
    <s v="Under Construction"/>
    <x v="2"/>
    <s v="Speeding"/>
    <n v="2"/>
  </r>
  <r>
    <x v="42"/>
    <d v="2024-01-23T00:00:00"/>
    <x v="3"/>
    <s v="Overturn"/>
    <x v="1"/>
    <x v="2"/>
    <s v="Under Construction"/>
    <x v="2"/>
    <s v="Brake Failure"/>
    <n v="2"/>
  </r>
  <r>
    <x v="43"/>
    <d v="2024-03-19T00:00:00"/>
    <x v="0"/>
    <s v="Animal Hit"/>
    <x v="3"/>
    <x v="2"/>
    <s v="Wet"/>
    <x v="1"/>
    <s v="Weather"/>
    <n v="4"/>
  </r>
  <r>
    <x v="44"/>
    <d v="2024-03-20T00:00:00"/>
    <x v="0"/>
    <s v="Overturn"/>
    <x v="5"/>
    <x v="0"/>
    <s v="Wet"/>
    <x v="3"/>
    <s v="Brake Failure"/>
    <n v="3"/>
  </r>
  <r>
    <x v="45"/>
    <d v="2024-05-05T00:00:00"/>
    <x v="1"/>
    <s v="Animal Hit"/>
    <x v="4"/>
    <x v="3"/>
    <s v="Dry"/>
    <x v="2"/>
    <s v="Speeding"/>
    <n v="0"/>
  </r>
  <r>
    <x v="46"/>
    <d v="2024-04-20T00:00:00"/>
    <x v="0"/>
    <s v="Overturn"/>
    <x v="3"/>
    <x v="1"/>
    <s v="Dry"/>
    <x v="3"/>
    <s v="Overtaking"/>
    <n v="1"/>
  </r>
  <r>
    <x v="47"/>
    <d v="2024-06-23T00:00:00"/>
    <x v="6"/>
    <s v="Animal Hit"/>
    <x v="4"/>
    <x v="3"/>
    <s v="Wet"/>
    <x v="1"/>
    <s v="Drunk Driving"/>
    <n v="0"/>
  </r>
  <r>
    <x v="48"/>
    <d v="2024-03-18T00:00:00"/>
    <x v="7"/>
    <s v="Collision"/>
    <x v="4"/>
    <x v="0"/>
    <s v="Dry"/>
    <x v="0"/>
    <s v="Weather"/>
    <n v="5"/>
  </r>
  <r>
    <x v="49"/>
    <d v="2024-05-24T00:00:00"/>
    <x v="3"/>
    <s v="Pedestrian Hit"/>
    <x v="2"/>
    <x v="1"/>
    <s v="Damaged"/>
    <x v="2"/>
    <s v="Speeding"/>
    <n v="2"/>
  </r>
  <r>
    <x v="50"/>
    <d v="2024-04-01T00:00:00"/>
    <x v="5"/>
    <s v="Collision"/>
    <x v="1"/>
    <x v="2"/>
    <s v="Dry"/>
    <x v="0"/>
    <s v="Drunk Driving"/>
    <n v="0"/>
  </r>
  <r>
    <x v="51"/>
    <d v="2024-02-25T00:00:00"/>
    <x v="4"/>
    <s v="Animal Hit"/>
    <x v="2"/>
    <x v="1"/>
    <s v="Damaged"/>
    <x v="3"/>
    <s v="Weather"/>
    <n v="2"/>
  </r>
  <r>
    <x v="52"/>
    <d v="2024-01-20T00:00:00"/>
    <x v="7"/>
    <s v="Pedestrian Hit"/>
    <x v="3"/>
    <x v="2"/>
    <s v="Under Construction"/>
    <x v="0"/>
    <s v="Drunk Driving"/>
    <n v="3"/>
  </r>
  <r>
    <x v="53"/>
    <d v="2024-02-23T00:00:00"/>
    <x v="0"/>
    <s v="Animal Hit"/>
    <x v="2"/>
    <x v="2"/>
    <s v="Dry"/>
    <x v="3"/>
    <s v="Drunk Driving"/>
    <n v="5"/>
  </r>
  <r>
    <x v="54"/>
    <d v="2024-05-21T00:00:00"/>
    <x v="0"/>
    <s v="Overturn"/>
    <x v="0"/>
    <x v="0"/>
    <s v="Damaged"/>
    <x v="0"/>
    <s v="Brake Failure"/>
    <n v="4"/>
  </r>
  <r>
    <x v="55"/>
    <d v="2024-03-23T00:00:00"/>
    <x v="3"/>
    <s v="Overturn"/>
    <x v="5"/>
    <x v="1"/>
    <s v="Under Construction"/>
    <x v="0"/>
    <s v="Drunk Driving"/>
    <n v="3"/>
  </r>
  <r>
    <x v="56"/>
    <d v="2024-05-21T00:00:00"/>
    <x v="3"/>
    <s v="Overturn"/>
    <x v="5"/>
    <x v="2"/>
    <s v="Under Construction"/>
    <x v="2"/>
    <s v="Speeding"/>
    <n v="5"/>
  </r>
  <r>
    <x v="57"/>
    <d v="2024-03-16T00:00:00"/>
    <x v="0"/>
    <s v="Collision"/>
    <x v="0"/>
    <x v="1"/>
    <s v="Wet"/>
    <x v="2"/>
    <s v="Brake Failure"/>
    <n v="2"/>
  </r>
  <r>
    <x v="58"/>
    <d v="2024-01-26T00:00:00"/>
    <x v="1"/>
    <s v="Collision"/>
    <x v="3"/>
    <x v="1"/>
    <s v="Under Construction"/>
    <x v="1"/>
    <s v="Speeding"/>
    <n v="4"/>
  </r>
  <r>
    <x v="59"/>
    <d v="2024-05-14T00:00:00"/>
    <x v="2"/>
    <s v="Overturn"/>
    <x v="3"/>
    <x v="3"/>
    <s v="Dry"/>
    <x v="1"/>
    <s v="Drunk Driving"/>
    <n v="2"/>
  </r>
  <r>
    <x v="60"/>
    <d v="2024-05-11T00:00:00"/>
    <x v="0"/>
    <s v="Animal Hit"/>
    <x v="1"/>
    <x v="1"/>
    <s v="Under Construction"/>
    <x v="1"/>
    <s v="Brake Failure"/>
    <n v="5"/>
  </r>
  <r>
    <x v="61"/>
    <d v="2024-03-04T00:00:00"/>
    <x v="1"/>
    <s v="Collision"/>
    <x v="4"/>
    <x v="1"/>
    <s v="Damaged"/>
    <x v="2"/>
    <s v="Speeding"/>
    <n v="5"/>
  </r>
  <r>
    <x v="62"/>
    <d v="2024-06-10T00:00:00"/>
    <x v="6"/>
    <s v="Animal Hit"/>
    <x v="0"/>
    <x v="0"/>
    <s v="Under Construction"/>
    <x v="3"/>
    <s v="Brake Failure"/>
    <n v="1"/>
  </r>
  <r>
    <x v="63"/>
    <d v="2024-01-10T00:00:00"/>
    <x v="7"/>
    <s v="Overturn"/>
    <x v="5"/>
    <x v="3"/>
    <s v="Under Construction"/>
    <x v="3"/>
    <s v="Speeding"/>
    <n v="4"/>
  </r>
  <r>
    <x v="64"/>
    <d v="2024-03-09T00:00:00"/>
    <x v="2"/>
    <s v="Pedestrian Hit"/>
    <x v="0"/>
    <x v="2"/>
    <s v="Dry"/>
    <x v="2"/>
    <s v="Distracted Driving"/>
    <n v="1"/>
  </r>
  <r>
    <x v="65"/>
    <d v="2024-03-16T00:00:00"/>
    <x v="5"/>
    <s v="Overturn"/>
    <x v="4"/>
    <x v="2"/>
    <s v="Wet"/>
    <x v="2"/>
    <s v="Overtaking"/>
    <n v="2"/>
  </r>
  <r>
    <x v="66"/>
    <d v="2024-02-15T00:00:00"/>
    <x v="3"/>
    <s v="Collision"/>
    <x v="1"/>
    <x v="0"/>
    <s v="Wet"/>
    <x v="1"/>
    <s v="Speeding"/>
    <n v="1"/>
  </r>
  <r>
    <x v="67"/>
    <d v="2024-05-05T00:00:00"/>
    <x v="3"/>
    <s v="Overturn"/>
    <x v="1"/>
    <x v="2"/>
    <s v="Damaged"/>
    <x v="0"/>
    <s v="Drunk Driving"/>
    <n v="3"/>
  </r>
  <r>
    <x v="68"/>
    <d v="2024-04-26T00:00:00"/>
    <x v="1"/>
    <s v="Animal Hit"/>
    <x v="4"/>
    <x v="3"/>
    <s v="Under Construction"/>
    <x v="0"/>
    <s v="Overtaking"/>
    <n v="0"/>
  </r>
  <r>
    <x v="69"/>
    <d v="2024-01-11T00:00:00"/>
    <x v="7"/>
    <s v="Animal Hit"/>
    <x v="1"/>
    <x v="1"/>
    <s v="Damaged"/>
    <x v="2"/>
    <s v="Speeding"/>
    <n v="4"/>
  </r>
  <r>
    <x v="70"/>
    <d v="2024-05-18T00:00:00"/>
    <x v="6"/>
    <s v="Object Hit"/>
    <x v="3"/>
    <x v="0"/>
    <s v="Dry"/>
    <x v="2"/>
    <s v="Overtaking"/>
    <n v="2"/>
  </r>
  <r>
    <x v="71"/>
    <d v="2024-06-05T00:00:00"/>
    <x v="1"/>
    <s v="Animal Hit"/>
    <x v="5"/>
    <x v="3"/>
    <s v="Dry"/>
    <x v="3"/>
    <s v="Drunk Driving"/>
    <n v="4"/>
  </r>
  <r>
    <x v="72"/>
    <d v="2024-03-01T00:00:00"/>
    <x v="3"/>
    <s v="Animal Hit"/>
    <x v="4"/>
    <x v="2"/>
    <s v="Dry"/>
    <x v="2"/>
    <s v="Weather"/>
    <n v="1"/>
  </r>
  <r>
    <x v="73"/>
    <d v="2024-06-17T00:00:00"/>
    <x v="3"/>
    <s v="Animal Hit"/>
    <x v="3"/>
    <x v="0"/>
    <s v="Wet"/>
    <x v="1"/>
    <s v="Drunk Driving"/>
    <n v="3"/>
  </r>
  <r>
    <x v="74"/>
    <d v="2024-04-17T00:00:00"/>
    <x v="7"/>
    <s v="Pedestrian Hit"/>
    <x v="5"/>
    <x v="3"/>
    <s v="Damaged"/>
    <x v="0"/>
    <s v="Distracted Driving"/>
    <n v="4"/>
  </r>
  <r>
    <x v="75"/>
    <d v="2024-05-25T00:00:00"/>
    <x v="3"/>
    <s v="Object Hit"/>
    <x v="2"/>
    <x v="3"/>
    <s v="Dry"/>
    <x v="1"/>
    <s v="Weather"/>
    <n v="4"/>
  </r>
  <r>
    <x v="76"/>
    <d v="2024-02-08T00:00:00"/>
    <x v="6"/>
    <s v="Object Hit"/>
    <x v="2"/>
    <x v="0"/>
    <s v="Under Construction"/>
    <x v="2"/>
    <s v="Brake Failure"/>
    <n v="2"/>
  </r>
  <r>
    <x v="77"/>
    <d v="2024-03-31T00:00:00"/>
    <x v="6"/>
    <s v="Pedestrian Hit"/>
    <x v="3"/>
    <x v="0"/>
    <s v="Damaged"/>
    <x v="1"/>
    <s v="Overtaking"/>
    <n v="0"/>
  </r>
  <r>
    <x v="78"/>
    <d v="2024-02-07T00:00:00"/>
    <x v="1"/>
    <s v="Collision"/>
    <x v="5"/>
    <x v="0"/>
    <s v="Wet"/>
    <x v="2"/>
    <s v="Overtaking"/>
    <n v="5"/>
  </r>
  <r>
    <x v="79"/>
    <d v="2024-03-24T00:00:00"/>
    <x v="5"/>
    <s v="Overturn"/>
    <x v="0"/>
    <x v="3"/>
    <s v="Dry"/>
    <x v="2"/>
    <s v="Distracted Driving"/>
    <n v="4"/>
  </r>
  <r>
    <x v="80"/>
    <d v="2024-01-29T00:00:00"/>
    <x v="4"/>
    <s v="Collision"/>
    <x v="3"/>
    <x v="0"/>
    <s v="Dry"/>
    <x v="3"/>
    <s v="Distracted Driving"/>
    <n v="0"/>
  </r>
  <r>
    <x v="81"/>
    <d v="2024-04-22T00:00:00"/>
    <x v="5"/>
    <s v="Collision"/>
    <x v="5"/>
    <x v="2"/>
    <s v="Wet"/>
    <x v="1"/>
    <s v="Overtaking"/>
    <n v="3"/>
  </r>
  <r>
    <x v="82"/>
    <d v="2024-05-12T00:00:00"/>
    <x v="1"/>
    <s v="Object Hit"/>
    <x v="4"/>
    <x v="2"/>
    <s v="Damaged"/>
    <x v="0"/>
    <s v="Weather"/>
    <n v="4"/>
  </r>
  <r>
    <x v="83"/>
    <d v="2024-01-28T00:00:00"/>
    <x v="2"/>
    <s v="Overturn"/>
    <x v="4"/>
    <x v="3"/>
    <s v="Under Construction"/>
    <x v="3"/>
    <s v="Brake Failure"/>
    <n v="2"/>
  </r>
  <r>
    <x v="84"/>
    <d v="2024-01-17T00:00:00"/>
    <x v="4"/>
    <s v="Animal Hit"/>
    <x v="2"/>
    <x v="1"/>
    <s v="Wet"/>
    <x v="3"/>
    <s v="Speeding"/>
    <n v="3"/>
  </r>
  <r>
    <x v="85"/>
    <d v="2024-01-11T00:00:00"/>
    <x v="7"/>
    <s v="Animal Hit"/>
    <x v="3"/>
    <x v="0"/>
    <s v="Dry"/>
    <x v="3"/>
    <s v="Drunk Driving"/>
    <n v="2"/>
  </r>
  <r>
    <x v="86"/>
    <d v="2024-06-14T00:00:00"/>
    <x v="5"/>
    <s v="Animal Hit"/>
    <x v="4"/>
    <x v="2"/>
    <s v="Wet"/>
    <x v="0"/>
    <s v="Brake Failure"/>
    <n v="1"/>
  </r>
  <r>
    <x v="87"/>
    <d v="2024-03-22T00:00:00"/>
    <x v="0"/>
    <s v="Object Hit"/>
    <x v="1"/>
    <x v="2"/>
    <s v="Dry"/>
    <x v="0"/>
    <s v="Weather"/>
    <n v="2"/>
  </r>
  <r>
    <x v="88"/>
    <d v="2024-06-02T00:00:00"/>
    <x v="6"/>
    <s v="Object Hit"/>
    <x v="0"/>
    <x v="1"/>
    <s v="Dry"/>
    <x v="2"/>
    <s v="Speeding"/>
    <n v="0"/>
  </r>
  <r>
    <x v="89"/>
    <d v="2024-01-03T00:00:00"/>
    <x v="1"/>
    <s v="Collision"/>
    <x v="3"/>
    <x v="0"/>
    <s v="Dry"/>
    <x v="3"/>
    <s v="Overtaking"/>
    <n v="1"/>
  </r>
  <r>
    <x v="90"/>
    <d v="2024-06-15T00:00:00"/>
    <x v="7"/>
    <s v="Pedestrian Hit"/>
    <x v="0"/>
    <x v="1"/>
    <s v="Under Construction"/>
    <x v="1"/>
    <s v="Speeding"/>
    <n v="4"/>
  </r>
  <r>
    <x v="91"/>
    <d v="2024-03-18T00:00:00"/>
    <x v="0"/>
    <s v="Collision"/>
    <x v="5"/>
    <x v="0"/>
    <s v="Damaged"/>
    <x v="1"/>
    <s v="Distracted Driving"/>
    <n v="1"/>
  </r>
  <r>
    <x v="92"/>
    <d v="2024-04-07T00:00:00"/>
    <x v="2"/>
    <s v="Pedestrian Hit"/>
    <x v="4"/>
    <x v="1"/>
    <s v="Wet"/>
    <x v="3"/>
    <s v="Distracted Driving"/>
    <n v="5"/>
  </r>
  <r>
    <x v="93"/>
    <d v="2024-06-13T00:00:00"/>
    <x v="7"/>
    <s v="Animal Hit"/>
    <x v="1"/>
    <x v="0"/>
    <s v="Damaged"/>
    <x v="1"/>
    <s v="Distracted Driving"/>
    <n v="0"/>
  </r>
  <r>
    <x v="94"/>
    <d v="2024-02-20T00:00:00"/>
    <x v="1"/>
    <s v="Collision"/>
    <x v="1"/>
    <x v="0"/>
    <s v="Damaged"/>
    <x v="2"/>
    <s v="Drunk Driving"/>
    <n v="3"/>
  </r>
  <r>
    <x v="95"/>
    <d v="2024-01-22T00:00:00"/>
    <x v="3"/>
    <s v="Animal Hit"/>
    <x v="3"/>
    <x v="0"/>
    <s v="Under Construction"/>
    <x v="2"/>
    <s v="Drunk Driving"/>
    <n v="5"/>
  </r>
  <r>
    <x v="96"/>
    <d v="2024-04-21T00:00:00"/>
    <x v="4"/>
    <s v="Object Hit"/>
    <x v="2"/>
    <x v="2"/>
    <s v="Damaged"/>
    <x v="1"/>
    <s v="Drunk Driving"/>
    <n v="3"/>
  </r>
  <r>
    <x v="97"/>
    <d v="2024-04-08T00:00:00"/>
    <x v="4"/>
    <s v="Pedestrian Hit"/>
    <x v="4"/>
    <x v="2"/>
    <s v="Wet"/>
    <x v="3"/>
    <s v="Speeding"/>
    <n v="0"/>
  </r>
  <r>
    <x v="98"/>
    <d v="2024-06-21T00:00:00"/>
    <x v="7"/>
    <s v="Overturn"/>
    <x v="0"/>
    <x v="0"/>
    <s v="Wet"/>
    <x v="2"/>
    <s v="Drunk Driving"/>
    <n v="4"/>
  </r>
  <r>
    <x v="99"/>
    <d v="2024-01-26T00:00:00"/>
    <x v="5"/>
    <s v="Pedestrian Hit"/>
    <x v="4"/>
    <x v="2"/>
    <s v="Damaged"/>
    <x v="3"/>
    <s v="Overtaking"/>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DF72B23-30E0-4AF5-A429-2DD1A05872E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B9" firstHeaderRow="1" firstDataRow="1" firstDataCol="1"/>
  <pivotFields count="10">
    <pivotField dataField="1"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umFmtId="14" showAll="0"/>
    <pivotField axis="axisRow" showAll="0">
      <items count="9">
        <item h="1" x="5"/>
        <item x="3"/>
        <item x="6"/>
        <item x="4"/>
        <item x="0"/>
        <item x="7"/>
        <item x="1"/>
        <item x="2"/>
        <item t="default"/>
      </items>
    </pivotField>
    <pivotField showAll="0"/>
    <pivotField showAll="0">
      <items count="7">
        <item x="0"/>
        <item x="1"/>
        <item x="5"/>
        <item x="3"/>
        <item x="4"/>
        <item x="2"/>
        <item t="default"/>
      </items>
    </pivotField>
    <pivotField showAll="0">
      <items count="5">
        <item x="0"/>
        <item x="1"/>
        <item x="3"/>
        <item x="2"/>
        <item t="default"/>
      </items>
    </pivotField>
    <pivotField showAll="0"/>
    <pivotField showAll="0">
      <items count="5">
        <item x="1"/>
        <item x="2"/>
        <item x="0"/>
        <item x="3"/>
        <item t="default"/>
      </items>
    </pivotField>
    <pivotField showAll="0"/>
    <pivotField showAll="0"/>
  </pivotFields>
  <rowFields count="1">
    <field x="2"/>
  </rowFields>
  <rowItems count="8">
    <i>
      <x v="1"/>
    </i>
    <i>
      <x v="2"/>
    </i>
    <i>
      <x v="3"/>
    </i>
    <i>
      <x v="4"/>
    </i>
    <i>
      <x v="5"/>
    </i>
    <i>
      <x v="6"/>
    </i>
    <i>
      <x v="7"/>
    </i>
    <i t="grand">
      <x/>
    </i>
  </rowItems>
  <colItems count="1">
    <i/>
  </colItems>
  <dataFields count="1">
    <dataField name="Count of Accident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F0C331D-8521-405E-9215-80D620869557}"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6:B21" firstHeaderRow="1" firstDataRow="1" firstDataCol="1"/>
  <pivotFields count="10">
    <pivotField dataField="1"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umFmtId="14" showAll="0"/>
    <pivotField showAll="0">
      <items count="9">
        <item h="1" x="5"/>
        <item x="3"/>
        <item x="6"/>
        <item x="4"/>
        <item x="0"/>
        <item x="7"/>
        <item x="1"/>
        <item x="2"/>
        <item t="default"/>
      </items>
    </pivotField>
    <pivotField showAll="0"/>
    <pivotField showAll="0">
      <items count="7">
        <item x="0"/>
        <item x="1"/>
        <item x="5"/>
        <item x="3"/>
        <item x="4"/>
        <item x="2"/>
        <item t="default"/>
      </items>
    </pivotField>
    <pivotField showAll="0">
      <items count="5">
        <item x="0"/>
        <item x="1"/>
        <item x="3"/>
        <item x="2"/>
        <item t="default"/>
      </items>
    </pivotField>
    <pivotField showAll="0"/>
    <pivotField axis="axisRow" showAll="0">
      <items count="5">
        <item x="1"/>
        <item x="2"/>
        <item x="0"/>
        <item x="3"/>
        <item t="default"/>
      </items>
    </pivotField>
    <pivotField showAll="0"/>
    <pivotField showAll="0"/>
  </pivotFields>
  <rowFields count="1">
    <field x="7"/>
  </rowFields>
  <rowItems count="5">
    <i>
      <x/>
    </i>
    <i>
      <x v="1"/>
    </i>
    <i>
      <x v="2"/>
    </i>
    <i>
      <x v="3"/>
    </i>
    <i t="grand">
      <x/>
    </i>
  </rowItems>
  <colItems count="1">
    <i/>
  </colItems>
  <dataFields count="1">
    <dataField name="Count of Accident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9843E74-DAF5-4A91-AFF9-5FC8AEFBE7F0}"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6:F21" firstHeaderRow="1" firstDataRow="1" firstDataCol="1"/>
  <pivotFields count="10">
    <pivotField dataField="1"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umFmtId="14" showAll="0"/>
    <pivotField showAll="0">
      <items count="9">
        <item h="1" x="5"/>
        <item x="3"/>
        <item x="6"/>
        <item x="4"/>
        <item x="0"/>
        <item x="7"/>
        <item x="1"/>
        <item x="2"/>
        <item t="default"/>
      </items>
    </pivotField>
    <pivotField showAll="0"/>
    <pivotField showAll="0">
      <items count="7">
        <item x="0"/>
        <item x="1"/>
        <item x="5"/>
        <item x="3"/>
        <item x="4"/>
        <item x="2"/>
        <item t="default"/>
      </items>
    </pivotField>
    <pivotField axis="axisRow" showAll="0">
      <items count="5">
        <item x="0"/>
        <item x="1"/>
        <item x="3"/>
        <item x="2"/>
        <item t="default"/>
      </items>
    </pivotField>
    <pivotField showAll="0"/>
    <pivotField showAll="0">
      <items count="5">
        <item x="1"/>
        <item x="2"/>
        <item x="0"/>
        <item x="3"/>
        <item t="default"/>
      </items>
    </pivotField>
    <pivotField showAll="0"/>
    <pivotField showAll="0"/>
  </pivotFields>
  <rowFields count="1">
    <field x="5"/>
  </rowFields>
  <rowItems count="5">
    <i>
      <x/>
    </i>
    <i>
      <x v="1"/>
    </i>
    <i>
      <x v="2"/>
    </i>
    <i>
      <x v="3"/>
    </i>
    <i t="grand">
      <x/>
    </i>
  </rowItems>
  <colItems count="1">
    <i/>
  </colItems>
  <dataFields count="1">
    <dataField name="Count of Accident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853465C-3E87-4AF9-84A8-3FC127CE62DC}"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F8" firstHeaderRow="1" firstDataRow="1" firstDataCol="1"/>
  <pivotFields count="10">
    <pivotField dataField="1"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umFmtId="14" showAll="0"/>
    <pivotField showAll="0">
      <items count="9">
        <item h="1" x="5"/>
        <item x="3"/>
        <item x="6"/>
        <item x="4"/>
        <item x="0"/>
        <item x="7"/>
        <item x="1"/>
        <item x="2"/>
        <item t="default"/>
      </items>
    </pivotField>
    <pivotField showAll="0"/>
    <pivotField axis="axisRow" showAll="0">
      <items count="7">
        <item x="0"/>
        <item x="1"/>
        <item x="5"/>
        <item x="3"/>
        <item x="4"/>
        <item x="2"/>
        <item t="default"/>
      </items>
    </pivotField>
    <pivotField showAll="0">
      <items count="5">
        <item x="0"/>
        <item x="1"/>
        <item x="3"/>
        <item x="2"/>
        <item t="default"/>
      </items>
    </pivotField>
    <pivotField showAll="0"/>
    <pivotField showAll="0">
      <items count="5">
        <item x="1"/>
        <item x="2"/>
        <item x="0"/>
        <item x="3"/>
        <item t="default"/>
      </items>
    </pivotField>
    <pivotField showAll="0"/>
    <pivotField showAll="0"/>
  </pivotFields>
  <rowFields count="1">
    <field x="4"/>
  </rowFields>
  <rowItems count="7">
    <i>
      <x/>
    </i>
    <i>
      <x v="1"/>
    </i>
    <i>
      <x v="2"/>
    </i>
    <i>
      <x v="3"/>
    </i>
    <i>
      <x v="4"/>
    </i>
    <i>
      <x v="5"/>
    </i>
    <i t="grand">
      <x/>
    </i>
  </rowItems>
  <colItems count="1">
    <i/>
  </colItems>
  <dataFields count="1">
    <dataField name="Count of Accident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verity" xr10:uid="{A58AA456-8C03-4F8C-8220-0E816005CB22}" sourceName="Severity">
  <pivotTables>
    <pivotTable tabId="3" name="PivotTable13"/>
    <pivotTable tabId="3" name="PivotTable1"/>
    <pivotTable tabId="3" name="PivotTable10"/>
    <pivotTable tabId="3" name="PivotTable9"/>
  </pivotTables>
  <data>
    <tabular pivotCacheId="583471086">
      <items count="4">
        <i x="1" s="1"/>
        <i x="2"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ather_Condition" xr10:uid="{ECECEB85-2A96-4CF8-8C42-F58875380F94}" sourceName="Weather Condition">
  <pivotTables>
    <pivotTable tabId="3" name="PivotTable13"/>
    <pivotTable tabId="3" name="PivotTable1"/>
    <pivotTable tabId="3" name="PivotTable10"/>
    <pivotTable tabId="3" name="PivotTable9"/>
  </pivotTables>
  <data>
    <tabular pivotCacheId="583471086">
      <items count="4">
        <i x="0" s="1"/>
        <i x="1" s="1"/>
        <i x="3"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hicle_Type" xr10:uid="{F2264781-A1E3-40F1-9299-6E8691B56439}" sourceName="Vehicle Type">
  <pivotTables>
    <pivotTable tabId="3" name="PivotTable13"/>
    <pivotTable tabId="3" name="PivotTable1"/>
    <pivotTable tabId="3" name="PivotTable10"/>
    <pivotTable tabId="3" name="PivotTable9"/>
  </pivotTables>
  <data>
    <tabular pivotCacheId="583471086">
      <items count="6">
        <i x="0" s="1"/>
        <i x="1" s="1"/>
        <i x="5" s="1"/>
        <i x="3" s="1"/>
        <i x="4"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12F233AD-35D2-44C7-B173-7DF60EE6E59E}" sourceName="Location">
  <pivotTables>
    <pivotTable tabId="3" name="PivotTable13"/>
    <pivotTable tabId="3" name="PivotTable1"/>
    <pivotTable tabId="3" name="PivotTable10"/>
    <pivotTable tabId="3" name="PivotTable9"/>
  </pivotTables>
  <data>
    <tabular pivotCacheId="583471086">
      <items count="8">
        <i x="5"/>
        <i x="3" s="1"/>
        <i x="6" s="1"/>
        <i x="4" s="1"/>
        <i x="0" s="1"/>
        <i x="7"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verity" xr10:uid="{C1E334C3-F281-45D5-A4DA-95389144B729}" cache="Slicer_Severity" caption="Severity" rowHeight="234950"/>
  <slicer name="Weather Condition" xr10:uid="{320B7698-EC8C-4098-8E33-63482947EF04}" cache="Slicer_Weather_Condition" caption="Weather Condition" rowHeight="234950"/>
  <slicer name="Vehicle Type" xr10:uid="{B7FE8BF7-CFD4-4161-83FC-7B75030A2BCF}" cache="Slicer_Vehicle_Type" caption="Vehicle Type" rowHeight="234950"/>
  <slicer name="Location" xr10:uid="{A7B08986-580E-4973-83C1-0834FDEF4477}" cache="Slicer_Location" caption="Location" startItem="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AAAA31C-FE71-4123-99D3-09A21330F329}" name="Table1" displayName="Table1" ref="A6:J106" totalsRowShown="0" headerRowDxfId="14" dataDxfId="13" headerRowBorderDxfId="11" tableBorderDxfId="12" totalsRowBorderDxfId="10">
  <autoFilter ref="A6:J106" xr:uid="{1AAAA31C-FE71-4123-99D3-09A21330F329}"/>
  <tableColumns count="10">
    <tableColumn id="1" xr3:uid="{0CD93C75-916F-47F4-9032-FF61962E33EF}" name="Accident ID" dataDxfId="9"/>
    <tableColumn id="2" xr3:uid="{433DE37C-1B45-4465-8CE7-8100C7E366EF}" name="Date" dataDxfId="8"/>
    <tableColumn id="3" xr3:uid="{A245DD8E-0D41-4699-A908-61C28B8E9BD5}" name="Location" dataDxfId="7"/>
    <tableColumn id="4" xr3:uid="{DD6CE256-7AB4-4A9E-ADCA-EF9CB7EC8EBE}" name="Accident Type" dataDxfId="6"/>
    <tableColumn id="5" xr3:uid="{B5EB49B8-5493-4667-8826-34B621AFF57F}" name="Vehicle Type" dataDxfId="5"/>
    <tableColumn id="6" xr3:uid="{229131A6-6833-4FBE-8810-875EA1151022}" name="Weather Condition" dataDxfId="4"/>
    <tableColumn id="7" xr3:uid="{E080FDF8-2701-4E2C-9CD9-28F33D296917}" name="Road Condition" dataDxfId="3"/>
    <tableColumn id="8" xr3:uid="{375C69F3-104A-4571-BE7D-C53DBDFCDD20}" name="Severity" dataDxfId="2"/>
    <tableColumn id="9" xr3:uid="{7505A277-091E-4EB5-9C04-82390F56755F}" name="Cause" dataDxfId="1"/>
    <tableColumn id="10" xr3:uid="{61FDEB3C-F2F6-4DD6-953B-DC987B10AD75}" name="Casualtie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D0B5EC-7C32-4C4E-BFCC-A12600603F14}">
  <dimension ref="A1:P13"/>
  <sheetViews>
    <sheetView workbookViewId="0">
      <selection activeCell="C18" sqref="C18"/>
    </sheetView>
  </sheetViews>
  <sheetFormatPr defaultRowHeight="14.4" x14ac:dyDescent="0.3"/>
  <cols>
    <col min="1" max="1" width="14.88671875" customWidth="1"/>
    <col min="2" max="2" width="11.88671875" customWidth="1"/>
    <col min="3" max="3" width="16" bestFit="1" customWidth="1"/>
    <col min="4" max="4" width="18.6640625" bestFit="1" customWidth="1"/>
    <col min="5" max="5" width="16.6640625" customWidth="1"/>
  </cols>
  <sheetData>
    <row r="1" spans="1:16" x14ac:dyDescent="0.3">
      <c r="A1" s="21" t="s">
        <v>0</v>
      </c>
      <c r="B1" s="22"/>
      <c r="C1" s="22"/>
      <c r="D1" s="22"/>
      <c r="E1" s="22"/>
      <c r="F1" s="22"/>
      <c r="G1" s="22"/>
      <c r="H1" s="22"/>
      <c r="I1" s="22"/>
      <c r="J1" s="22"/>
      <c r="K1" s="22"/>
      <c r="L1" s="22"/>
      <c r="M1" s="22"/>
      <c r="N1" s="22"/>
      <c r="O1" s="22"/>
      <c r="P1" s="22"/>
    </row>
    <row r="2" spans="1:16" x14ac:dyDescent="0.3">
      <c r="A2" s="22"/>
      <c r="B2" s="22"/>
      <c r="C2" s="22"/>
      <c r="D2" s="22"/>
      <c r="E2" s="22"/>
      <c r="F2" s="22"/>
      <c r="G2" s="22"/>
      <c r="H2" s="22"/>
      <c r="I2" s="22"/>
      <c r="J2" s="22"/>
      <c r="K2" s="22"/>
      <c r="L2" s="22"/>
      <c r="M2" s="22"/>
      <c r="N2" s="22"/>
      <c r="O2" s="22"/>
      <c r="P2" s="22"/>
    </row>
    <row r="3" spans="1:16" x14ac:dyDescent="0.3">
      <c r="A3" s="22"/>
      <c r="B3" s="22"/>
      <c r="C3" s="22"/>
      <c r="D3" s="22"/>
      <c r="E3" s="22"/>
      <c r="F3" s="22"/>
      <c r="G3" s="22"/>
      <c r="H3" s="22"/>
      <c r="I3" s="22"/>
      <c r="J3" s="22"/>
      <c r="K3" s="22"/>
      <c r="L3" s="22"/>
      <c r="M3" s="22"/>
      <c r="N3" s="22"/>
      <c r="O3" s="22"/>
      <c r="P3" s="22"/>
    </row>
    <row r="5" spans="1:16" x14ac:dyDescent="0.3">
      <c r="A5" s="1" t="s">
        <v>1</v>
      </c>
      <c r="B5" s="1" t="s">
        <v>2</v>
      </c>
      <c r="C5" s="2" t="s">
        <v>11</v>
      </c>
      <c r="D5" s="2" t="s">
        <v>12</v>
      </c>
      <c r="E5" s="2" t="s">
        <v>13</v>
      </c>
    </row>
    <row r="6" spans="1:16" x14ac:dyDescent="0.3">
      <c r="A6" s="3" t="s">
        <v>3</v>
      </c>
      <c r="B6" s="4">
        <v>43905</v>
      </c>
      <c r="C6" s="5">
        <f ca="1">DATEDIF(B6,TODAY(),"Y")</f>
        <v>6</v>
      </c>
      <c r="D6" s="5">
        <f ca="1">DATEDIF(B6,TODAY(),"YM")</f>
        <v>2</v>
      </c>
      <c r="E6" s="5" t="str">
        <f ca="1">DATEDIF(B6,TODAY(),"Y")&amp;" years "&amp;DATEDIF(B6,TODAY(),"YM")&amp;" Months"</f>
        <v>6 years 2 Months</v>
      </c>
    </row>
    <row r="7" spans="1:16" x14ac:dyDescent="0.3">
      <c r="A7" s="3" t="s">
        <v>4</v>
      </c>
      <c r="B7" s="4">
        <v>44418</v>
      </c>
      <c r="C7" s="5">
        <f t="shared" ref="C7:C13" ca="1" si="0">DATEDIF(B7,TODAY(),"Y")</f>
        <v>4</v>
      </c>
      <c r="D7" s="5">
        <f t="shared" ref="D7:D13" ca="1" si="1">DATEDIF(B7,TODAY(),"YM")</f>
        <v>9</v>
      </c>
      <c r="E7" s="5" t="str">
        <f t="shared" ref="E7:E13" ca="1" si="2">DATEDIF(B7,TODAY(),"Y")&amp;" years "&amp;DATEDIF(B7,TODAY(),"YM")&amp;" Months"</f>
        <v>4 years 9 Months</v>
      </c>
    </row>
    <row r="8" spans="1:16" x14ac:dyDescent="0.3">
      <c r="A8" s="3" t="s">
        <v>5</v>
      </c>
      <c r="B8" s="4">
        <v>43490</v>
      </c>
      <c r="C8" s="5">
        <f t="shared" ca="1" si="0"/>
        <v>7</v>
      </c>
      <c r="D8" s="5">
        <f t="shared" ca="1" si="1"/>
        <v>4</v>
      </c>
      <c r="E8" s="5" t="str">
        <f t="shared" ca="1" si="2"/>
        <v>7 years 4 Months</v>
      </c>
    </row>
    <row r="9" spans="1:16" x14ac:dyDescent="0.3">
      <c r="A9" s="3" t="s">
        <v>6</v>
      </c>
      <c r="B9" s="4">
        <v>44870</v>
      </c>
      <c r="C9" s="5">
        <f t="shared" ca="1" si="0"/>
        <v>3</v>
      </c>
      <c r="D9" s="5">
        <f t="shared" ca="1" si="1"/>
        <v>6</v>
      </c>
      <c r="E9" s="5" t="str">
        <f t="shared" ca="1" si="2"/>
        <v>3 years 6 Months</v>
      </c>
    </row>
    <row r="10" spans="1:16" x14ac:dyDescent="0.3">
      <c r="A10" s="3" t="s">
        <v>8</v>
      </c>
      <c r="B10" s="6">
        <v>44925</v>
      </c>
      <c r="C10" s="5">
        <f t="shared" ca="1" si="0"/>
        <v>3</v>
      </c>
      <c r="D10" s="5">
        <f t="shared" ca="1" si="1"/>
        <v>5</v>
      </c>
      <c r="E10" s="5" t="str">
        <f t="shared" ca="1" si="2"/>
        <v>3 years 5 Months</v>
      </c>
    </row>
    <row r="11" spans="1:16" x14ac:dyDescent="0.3">
      <c r="A11" s="3" t="s">
        <v>7</v>
      </c>
      <c r="B11" s="6">
        <v>44362</v>
      </c>
      <c r="C11" s="5">
        <f t="shared" ca="1" si="0"/>
        <v>4</v>
      </c>
      <c r="D11" s="5">
        <f t="shared" ca="1" si="1"/>
        <v>11</v>
      </c>
      <c r="E11" s="5" t="str">
        <f t="shared" ca="1" si="2"/>
        <v>4 years 11 Months</v>
      </c>
    </row>
    <row r="12" spans="1:16" x14ac:dyDescent="0.3">
      <c r="A12" s="3" t="s">
        <v>9</v>
      </c>
      <c r="B12" s="6">
        <v>43581</v>
      </c>
      <c r="C12" s="5">
        <f t="shared" ca="1" si="0"/>
        <v>7</v>
      </c>
      <c r="D12" s="5">
        <f t="shared" ca="1" si="1"/>
        <v>1</v>
      </c>
      <c r="E12" s="5" t="str">
        <f t="shared" ca="1" si="2"/>
        <v>7 years 1 Months</v>
      </c>
    </row>
    <row r="13" spans="1:16" x14ac:dyDescent="0.3">
      <c r="A13" s="3" t="s">
        <v>10</v>
      </c>
      <c r="B13" s="6">
        <v>44061</v>
      </c>
      <c r="C13" s="5">
        <f t="shared" ca="1" si="0"/>
        <v>5</v>
      </c>
      <c r="D13" s="5">
        <f t="shared" ca="1" si="1"/>
        <v>9</v>
      </c>
      <c r="E13" s="5" t="str">
        <f t="shared" ca="1" si="2"/>
        <v>5 years 9 Months</v>
      </c>
    </row>
  </sheetData>
  <mergeCells count="1">
    <mergeCell ref="A1:P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0CE162-4652-4FC2-8AD7-3E7EA8D1B467}">
  <dimension ref="A1:V106"/>
  <sheetViews>
    <sheetView topLeftCell="AB4" workbookViewId="0">
      <selection activeCell="L6" sqref="L6"/>
    </sheetView>
  </sheetViews>
  <sheetFormatPr defaultRowHeight="14.4" x14ac:dyDescent="0.3"/>
  <cols>
    <col min="1" max="1" width="12.77734375" customWidth="1"/>
    <col min="2" max="2" width="10.33203125" bestFit="1" customWidth="1"/>
    <col min="3" max="3" width="10.6640625" bestFit="1" customWidth="1"/>
    <col min="4" max="4" width="15.21875" customWidth="1"/>
    <col min="5" max="5" width="13.88671875" customWidth="1"/>
    <col min="6" max="6" width="19.33203125" customWidth="1"/>
    <col min="7" max="7" width="16.44140625" customWidth="1"/>
    <col min="8" max="8" width="10" customWidth="1"/>
    <col min="9" max="9" width="12.109375" bestFit="1" customWidth="1"/>
    <col min="10" max="10" width="11.88671875" customWidth="1"/>
  </cols>
  <sheetData>
    <row r="1" spans="1:22" ht="14.4" customHeight="1" x14ac:dyDescent="0.3">
      <c r="A1" s="23" t="s">
        <v>14</v>
      </c>
      <c r="B1" s="23"/>
      <c r="C1" s="23"/>
      <c r="D1" s="23"/>
      <c r="E1" s="23"/>
      <c r="F1" s="23"/>
      <c r="G1" s="23"/>
      <c r="H1" s="23"/>
      <c r="I1" s="23"/>
      <c r="J1" s="23"/>
      <c r="K1" s="23"/>
      <c r="L1" s="23"/>
      <c r="M1" s="23"/>
      <c r="N1" s="23"/>
      <c r="O1" s="23"/>
      <c r="P1" s="23"/>
      <c r="Q1" s="23"/>
      <c r="R1" s="23"/>
      <c r="S1" s="23"/>
      <c r="T1" s="23"/>
      <c r="U1" s="23"/>
      <c r="V1" s="23"/>
    </row>
    <row r="2" spans="1:22" x14ac:dyDescent="0.3">
      <c r="A2" s="23"/>
      <c r="B2" s="23"/>
      <c r="C2" s="23"/>
      <c r="D2" s="23"/>
      <c r="E2" s="23"/>
      <c r="F2" s="23"/>
      <c r="G2" s="23"/>
      <c r="H2" s="23"/>
      <c r="I2" s="23"/>
      <c r="J2" s="23"/>
      <c r="K2" s="23"/>
      <c r="L2" s="23"/>
      <c r="M2" s="23"/>
      <c r="N2" s="23"/>
      <c r="O2" s="23"/>
      <c r="P2" s="23"/>
      <c r="Q2" s="23"/>
      <c r="R2" s="23"/>
      <c r="S2" s="23"/>
      <c r="T2" s="23"/>
      <c r="U2" s="23"/>
      <c r="V2" s="23"/>
    </row>
    <row r="3" spans="1:22" x14ac:dyDescent="0.3">
      <c r="A3" s="23"/>
      <c r="B3" s="23"/>
      <c r="C3" s="23"/>
      <c r="D3" s="23"/>
      <c r="E3" s="23"/>
      <c r="F3" s="23"/>
      <c r="G3" s="23"/>
      <c r="H3" s="23"/>
      <c r="I3" s="23"/>
      <c r="J3" s="23"/>
      <c r="K3" s="23"/>
      <c r="L3" s="23"/>
      <c r="M3" s="23"/>
      <c r="N3" s="23"/>
      <c r="O3" s="23"/>
      <c r="P3" s="23"/>
      <c r="Q3" s="23"/>
      <c r="R3" s="23"/>
      <c r="S3" s="23"/>
      <c r="T3" s="23"/>
      <c r="U3" s="23"/>
      <c r="V3" s="23"/>
    </row>
    <row r="4" spans="1:22" ht="14.4" customHeight="1" x14ac:dyDescent="0.3">
      <c r="A4" s="23"/>
      <c r="B4" s="23"/>
      <c r="C4" s="23"/>
      <c r="D4" s="23"/>
      <c r="E4" s="23"/>
      <c r="F4" s="23"/>
      <c r="G4" s="23"/>
      <c r="H4" s="23"/>
      <c r="I4" s="23"/>
      <c r="J4" s="23"/>
      <c r="K4" s="23"/>
      <c r="L4" s="23"/>
      <c r="M4" s="23"/>
      <c r="N4" s="23"/>
      <c r="O4" s="23"/>
      <c r="P4" s="23"/>
      <c r="Q4" s="23"/>
      <c r="R4" s="23"/>
      <c r="S4" s="23"/>
      <c r="T4" s="23"/>
      <c r="U4" s="23"/>
      <c r="V4" s="23"/>
    </row>
    <row r="6" spans="1:22" ht="14.4" customHeight="1" thickBot="1" x14ac:dyDescent="0.35">
      <c r="A6" s="11" t="s">
        <v>15</v>
      </c>
      <c r="B6" s="12" t="s">
        <v>16</v>
      </c>
      <c r="C6" s="12" t="s">
        <v>17</v>
      </c>
      <c r="D6" s="12" t="s">
        <v>18</v>
      </c>
      <c r="E6" s="12" t="s">
        <v>19</v>
      </c>
      <c r="F6" s="12" t="s">
        <v>20</v>
      </c>
      <c r="G6" s="12" t="s">
        <v>21</v>
      </c>
      <c r="H6" s="12" t="s">
        <v>22</v>
      </c>
      <c r="I6" s="12" t="s">
        <v>23</v>
      </c>
      <c r="J6" s="13" t="s">
        <v>24</v>
      </c>
    </row>
    <row r="7" spans="1:22" ht="14.4" customHeight="1" thickBot="1" x14ac:dyDescent="0.35">
      <c r="A7" s="9" t="s">
        <v>25</v>
      </c>
      <c r="B7" s="8">
        <v>45292</v>
      </c>
      <c r="C7" s="7" t="s">
        <v>26</v>
      </c>
      <c r="D7" s="7" t="s">
        <v>27</v>
      </c>
      <c r="E7" s="7" t="s">
        <v>28</v>
      </c>
      <c r="F7" s="7" t="s">
        <v>29</v>
      </c>
      <c r="G7" s="7" t="s">
        <v>30</v>
      </c>
      <c r="H7" s="7" t="s">
        <v>31</v>
      </c>
      <c r="I7" s="7" t="s">
        <v>32</v>
      </c>
      <c r="J7" s="10">
        <v>0</v>
      </c>
    </row>
    <row r="8" spans="1:22" ht="14.4" customHeight="1" thickBot="1" x14ac:dyDescent="0.35">
      <c r="A8" s="9" t="s">
        <v>33</v>
      </c>
      <c r="B8" s="8">
        <v>45380</v>
      </c>
      <c r="C8" s="7" t="s">
        <v>34</v>
      </c>
      <c r="D8" s="7" t="s">
        <v>27</v>
      </c>
      <c r="E8" s="7" t="s">
        <v>28</v>
      </c>
      <c r="F8" s="7" t="s">
        <v>35</v>
      </c>
      <c r="G8" s="7" t="s">
        <v>36</v>
      </c>
      <c r="H8" s="7" t="s">
        <v>31</v>
      </c>
      <c r="I8" s="7" t="s">
        <v>37</v>
      </c>
      <c r="J8" s="10">
        <v>0</v>
      </c>
    </row>
    <row r="9" spans="1:22" ht="14.4" customHeight="1" thickBot="1" x14ac:dyDescent="0.35">
      <c r="A9" s="9" t="s">
        <v>38</v>
      </c>
      <c r="B9" s="8">
        <v>45296</v>
      </c>
      <c r="C9" s="7" t="s">
        <v>34</v>
      </c>
      <c r="D9" s="7" t="s">
        <v>27</v>
      </c>
      <c r="E9" s="7" t="s">
        <v>39</v>
      </c>
      <c r="F9" s="7" t="s">
        <v>40</v>
      </c>
      <c r="G9" s="7" t="s">
        <v>41</v>
      </c>
      <c r="H9" s="7" t="s">
        <v>42</v>
      </c>
      <c r="I9" s="7" t="s">
        <v>32</v>
      </c>
      <c r="J9" s="10">
        <v>3</v>
      </c>
    </row>
    <row r="10" spans="1:22" ht="14.4" customHeight="1" thickBot="1" x14ac:dyDescent="0.35">
      <c r="A10" s="9" t="s">
        <v>43</v>
      </c>
      <c r="B10" s="8">
        <v>45445</v>
      </c>
      <c r="C10" s="7" t="s">
        <v>44</v>
      </c>
      <c r="D10" s="7" t="s">
        <v>45</v>
      </c>
      <c r="E10" s="7" t="s">
        <v>46</v>
      </c>
      <c r="F10" s="7" t="s">
        <v>29</v>
      </c>
      <c r="G10" s="7" t="s">
        <v>30</v>
      </c>
      <c r="H10" s="7" t="s">
        <v>42</v>
      </c>
      <c r="I10" s="7" t="s">
        <v>47</v>
      </c>
      <c r="J10" s="10">
        <v>4</v>
      </c>
    </row>
    <row r="11" spans="1:22" ht="14.4" customHeight="1" thickBot="1" x14ac:dyDescent="0.35">
      <c r="A11" s="9" t="s">
        <v>48</v>
      </c>
      <c r="B11" s="8">
        <v>45350</v>
      </c>
      <c r="C11" s="7" t="s">
        <v>49</v>
      </c>
      <c r="D11" s="7" t="s">
        <v>50</v>
      </c>
      <c r="E11" s="7" t="s">
        <v>28</v>
      </c>
      <c r="F11" s="7" t="s">
        <v>29</v>
      </c>
      <c r="G11" s="7" t="s">
        <v>36</v>
      </c>
      <c r="H11" s="7" t="s">
        <v>31</v>
      </c>
      <c r="I11" s="7" t="s">
        <v>51</v>
      </c>
      <c r="J11" s="10">
        <v>0</v>
      </c>
    </row>
    <row r="12" spans="1:22" ht="14.4" customHeight="1" thickBot="1" x14ac:dyDescent="0.35">
      <c r="A12" s="9" t="s">
        <v>52</v>
      </c>
      <c r="B12" s="8">
        <v>45399</v>
      </c>
      <c r="C12" s="7" t="s">
        <v>49</v>
      </c>
      <c r="D12" s="7" t="s">
        <v>50</v>
      </c>
      <c r="E12" s="7" t="s">
        <v>53</v>
      </c>
      <c r="F12" s="7" t="s">
        <v>54</v>
      </c>
      <c r="G12" s="7" t="s">
        <v>36</v>
      </c>
      <c r="H12" s="7" t="s">
        <v>55</v>
      </c>
      <c r="I12" s="7" t="s">
        <v>56</v>
      </c>
      <c r="J12" s="10">
        <v>4</v>
      </c>
    </row>
    <row r="13" spans="1:22" ht="14.4" customHeight="1" thickBot="1" x14ac:dyDescent="0.35">
      <c r="A13" s="9" t="s">
        <v>57</v>
      </c>
      <c r="B13" s="8">
        <v>45338</v>
      </c>
      <c r="C13" s="7" t="s">
        <v>58</v>
      </c>
      <c r="D13" s="7" t="s">
        <v>50</v>
      </c>
      <c r="E13" s="7" t="s">
        <v>53</v>
      </c>
      <c r="F13" s="7" t="s">
        <v>54</v>
      </c>
      <c r="G13" s="7" t="s">
        <v>30</v>
      </c>
      <c r="H13" s="7" t="s">
        <v>55</v>
      </c>
      <c r="I13" s="7" t="s">
        <v>59</v>
      </c>
      <c r="J13" s="10">
        <v>2</v>
      </c>
    </row>
    <row r="14" spans="1:22" ht="14.4" customHeight="1" thickBot="1" x14ac:dyDescent="0.35">
      <c r="A14" s="9" t="s">
        <v>60</v>
      </c>
      <c r="B14" s="8">
        <v>45369</v>
      </c>
      <c r="C14" s="7" t="s">
        <v>26</v>
      </c>
      <c r="D14" s="7" t="s">
        <v>27</v>
      </c>
      <c r="E14" s="7" t="s">
        <v>53</v>
      </c>
      <c r="F14" s="7" t="s">
        <v>35</v>
      </c>
      <c r="G14" s="7" t="s">
        <v>61</v>
      </c>
      <c r="H14" s="7" t="s">
        <v>31</v>
      </c>
      <c r="I14" s="7" t="s">
        <v>59</v>
      </c>
      <c r="J14" s="10">
        <v>5</v>
      </c>
    </row>
    <row r="15" spans="1:22" ht="14.4" customHeight="1" thickBot="1" x14ac:dyDescent="0.35">
      <c r="A15" s="9" t="s">
        <v>62</v>
      </c>
      <c r="B15" s="8">
        <v>45425</v>
      </c>
      <c r="C15" s="7" t="s">
        <v>34</v>
      </c>
      <c r="D15" s="7" t="s">
        <v>45</v>
      </c>
      <c r="E15" s="7" t="s">
        <v>53</v>
      </c>
      <c r="F15" s="7" t="s">
        <v>40</v>
      </c>
      <c r="G15" s="7" t="s">
        <v>41</v>
      </c>
      <c r="H15" s="7" t="s">
        <v>55</v>
      </c>
      <c r="I15" s="7" t="s">
        <v>51</v>
      </c>
      <c r="J15" s="10">
        <v>2</v>
      </c>
    </row>
    <row r="16" spans="1:22" ht="14.4" customHeight="1" thickBot="1" x14ac:dyDescent="0.35">
      <c r="A16" s="9" t="s">
        <v>63</v>
      </c>
      <c r="B16" s="8">
        <v>45307</v>
      </c>
      <c r="C16" s="7" t="s">
        <v>64</v>
      </c>
      <c r="D16" s="7" t="s">
        <v>45</v>
      </c>
      <c r="E16" s="7" t="s">
        <v>65</v>
      </c>
      <c r="F16" s="7" t="s">
        <v>29</v>
      </c>
      <c r="G16" s="7" t="s">
        <v>41</v>
      </c>
      <c r="H16" s="7" t="s">
        <v>66</v>
      </c>
      <c r="I16" s="7" t="s">
        <v>59</v>
      </c>
      <c r="J16" s="10">
        <v>5</v>
      </c>
    </row>
    <row r="17" spans="1:10" ht="14.4" customHeight="1" thickBot="1" x14ac:dyDescent="0.35">
      <c r="A17" s="9" t="s">
        <v>67</v>
      </c>
      <c r="B17" s="8">
        <v>45299</v>
      </c>
      <c r="C17" s="7" t="s">
        <v>44</v>
      </c>
      <c r="D17" s="7" t="s">
        <v>68</v>
      </c>
      <c r="E17" s="7" t="s">
        <v>28</v>
      </c>
      <c r="F17" s="7" t="s">
        <v>29</v>
      </c>
      <c r="G17" s="7" t="s">
        <v>36</v>
      </c>
      <c r="H17" s="7" t="s">
        <v>42</v>
      </c>
      <c r="I17" s="7" t="s">
        <v>32</v>
      </c>
      <c r="J17" s="10">
        <v>0</v>
      </c>
    </row>
    <row r="18" spans="1:10" ht="14.4" customHeight="1" thickBot="1" x14ac:dyDescent="0.35">
      <c r="A18" s="9" t="s">
        <v>69</v>
      </c>
      <c r="B18" s="8">
        <v>45468</v>
      </c>
      <c r="C18" s="7" t="s">
        <v>64</v>
      </c>
      <c r="D18" s="7" t="s">
        <v>70</v>
      </c>
      <c r="E18" s="7" t="s">
        <v>53</v>
      </c>
      <c r="F18" s="7" t="s">
        <v>29</v>
      </c>
      <c r="G18" s="7" t="s">
        <v>41</v>
      </c>
      <c r="H18" s="7" t="s">
        <v>66</v>
      </c>
      <c r="I18" s="7" t="s">
        <v>32</v>
      </c>
      <c r="J18" s="10">
        <v>3</v>
      </c>
    </row>
    <row r="19" spans="1:10" ht="14.4" customHeight="1" thickBot="1" x14ac:dyDescent="0.35">
      <c r="A19" s="9" t="s">
        <v>71</v>
      </c>
      <c r="B19" s="8">
        <v>45380</v>
      </c>
      <c r="C19" s="7" t="s">
        <v>49</v>
      </c>
      <c r="D19" s="7" t="s">
        <v>70</v>
      </c>
      <c r="E19" s="7" t="s">
        <v>39</v>
      </c>
      <c r="F19" s="7" t="s">
        <v>54</v>
      </c>
      <c r="G19" s="7" t="s">
        <v>61</v>
      </c>
      <c r="H19" s="7" t="s">
        <v>66</v>
      </c>
      <c r="I19" s="7" t="s">
        <v>59</v>
      </c>
      <c r="J19" s="10">
        <v>1</v>
      </c>
    </row>
    <row r="20" spans="1:10" ht="14.4" customHeight="1" thickBot="1" x14ac:dyDescent="0.35">
      <c r="A20" s="9" t="s">
        <v>72</v>
      </c>
      <c r="B20" s="8">
        <v>45384</v>
      </c>
      <c r="C20" s="7" t="s">
        <v>73</v>
      </c>
      <c r="D20" s="7" t="s">
        <v>27</v>
      </c>
      <c r="E20" s="7" t="s">
        <v>74</v>
      </c>
      <c r="F20" s="7" t="s">
        <v>35</v>
      </c>
      <c r="G20" s="7" t="s">
        <v>30</v>
      </c>
      <c r="H20" s="7" t="s">
        <v>66</v>
      </c>
      <c r="I20" s="7" t="s">
        <v>56</v>
      </c>
      <c r="J20" s="10">
        <v>2</v>
      </c>
    </row>
    <row r="21" spans="1:10" ht="14.4" customHeight="1" thickBot="1" x14ac:dyDescent="0.35">
      <c r="A21" s="9" t="s">
        <v>75</v>
      </c>
      <c r="B21" s="8">
        <v>45378</v>
      </c>
      <c r="C21" s="7" t="s">
        <v>73</v>
      </c>
      <c r="D21" s="7" t="s">
        <v>70</v>
      </c>
      <c r="E21" s="7" t="s">
        <v>65</v>
      </c>
      <c r="F21" s="7" t="s">
        <v>35</v>
      </c>
      <c r="G21" s="7" t="s">
        <v>41</v>
      </c>
      <c r="H21" s="7" t="s">
        <v>31</v>
      </c>
      <c r="I21" s="7" t="s">
        <v>47</v>
      </c>
      <c r="J21" s="10">
        <v>1</v>
      </c>
    </row>
    <row r="22" spans="1:10" ht="14.4" customHeight="1" thickBot="1" x14ac:dyDescent="0.35">
      <c r="A22" s="9" t="s">
        <v>76</v>
      </c>
      <c r="B22" s="8">
        <v>45431</v>
      </c>
      <c r="C22" s="7" t="s">
        <v>73</v>
      </c>
      <c r="D22" s="7" t="s">
        <v>27</v>
      </c>
      <c r="E22" s="7" t="s">
        <v>46</v>
      </c>
      <c r="F22" s="7" t="s">
        <v>35</v>
      </c>
      <c r="G22" s="7" t="s">
        <v>36</v>
      </c>
      <c r="H22" s="7" t="s">
        <v>66</v>
      </c>
      <c r="I22" s="7" t="s">
        <v>37</v>
      </c>
      <c r="J22" s="10">
        <v>5</v>
      </c>
    </row>
    <row r="23" spans="1:10" ht="14.4" customHeight="1" thickBot="1" x14ac:dyDescent="0.35">
      <c r="A23" s="9" t="s">
        <v>77</v>
      </c>
      <c r="B23" s="8">
        <v>45354</v>
      </c>
      <c r="C23" s="7" t="s">
        <v>26</v>
      </c>
      <c r="D23" s="7" t="s">
        <v>45</v>
      </c>
      <c r="E23" s="7" t="s">
        <v>65</v>
      </c>
      <c r="F23" s="7" t="s">
        <v>40</v>
      </c>
      <c r="G23" s="7" t="s">
        <v>41</v>
      </c>
      <c r="H23" s="7" t="s">
        <v>31</v>
      </c>
      <c r="I23" s="7" t="s">
        <v>37</v>
      </c>
      <c r="J23" s="10">
        <v>4</v>
      </c>
    </row>
    <row r="24" spans="1:10" ht="14.4" customHeight="1" thickBot="1" x14ac:dyDescent="0.35">
      <c r="A24" s="9" t="s">
        <v>78</v>
      </c>
      <c r="B24" s="8">
        <v>45359</v>
      </c>
      <c r="C24" s="7" t="s">
        <v>79</v>
      </c>
      <c r="D24" s="7" t="s">
        <v>27</v>
      </c>
      <c r="E24" s="7" t="s">
        <v>53</v>
      </c>
      <c r="F24" s="7" t="s">
        <v>40</v>
      </c>
      <c r="G24" s="7" t="s">
        <v>41</v>
      </c>
      <c r="H24" s="7" t="s">
        <v>31</v>
      </c>
      <c r="I24" s="7" t="s">
        <v>47</v>
      </c>
      <c r="J24" s="10">
        <v>3</v>
      </c>
    </row>
    <row r="25" spans="1:10" ht="14.4" customHeight="1" thickBot="1" x14ac:dyDescent="0.35">
      <c r="A25" s="9" t="s">
        <v>80</v>
      </c>
      <c r="B25" s="8">
        <v>45469</v>
      </c>
      <c r="C25" s="7" t="s">
        <v>58</v>
      </c>
      <c r="D25" s="7" t="s">
        <v>27</v>
      </c>
      <c r="E25" s="7" t="s">
        <v>65</v>
      </c>
      <c r="F25" s="7" t="s">
        <v>54</v>
      </c>
      <c r="G25" s="7" t="s">
        <v>61</v>
      </c>
      <c r="H25" s="7" t="s">
        <v>66</v>
      </c>
      <c r="I25" s="7" t="s">
        <v>56</v>
      </c>
      <c r="J25" s="10">
        <v>4</v>
      </c>
    </row>
    <row r="26" spans="1:10" ht="14.4" customHeight="1" thickBot="1" x14ac:dyDescent="0.35">
      <c r="A26" s="9" t="s">
        <v>81</v>
      </c>
      <c r="B26" s="8">
        <v>45317</v>
      </c>
      <c r="C26" s="7" t="s">
        <v>58</v>
      </c>
      <c r="D26" s="7" t="s">
        <v>45</v>
      </c>
      <c r="E26" s="7" t="s">
        <v>39</v>
      </c>
      <c r="F26" s="7" t="s">
        <v>54</v>
      </c>
      <c r="G26" s="7" t="s">
        <v>36</v>
      </c>
      <c r="H26" s="7" t="s">
        <v>31</v>
      </c>
      <c r="I26" s="7" t="s">
        <v>47</v>
      </c>
      <c r="J26" s="10">
        <v>5</v>
      </c>
    </row>
    <row r="27" spans="1:10" ht="14.4" customHeight="1" thickBot="1" x14ac:dyDescent="0.35">
      <c r="A27" s="9" t="s">
        <v>82</v>
      </c>
      <c r="B27" s="8">
        <v>45327</v>
      </c>
      <c r="C27" s="7" t="s">
        <v>44</v>
      </c>
      <c r="D27" s="7" t="s">
        <v>50</v>
      </c>
      <c r="E27" s="7" t="s">
        <v>65</v>
      </c>
      <c r="F27" s="7" t="s">
        <v>40</v>
      </c>
      <c r="G27" s="7" t="s">
        <v>36</v>
      </c>
      <c r="H27" s="7" t="s">
        <v>55</v>
      </c>
      <c r="I27" s="7" t="s">
        <v>37</v>
      </c>
      <c r="J27" s="10">
        <v>5</v>
      </c>
    </row>
    <row r="28" spans="1:10" ht="14.4" customHeight="1" thickBot="1" x14ac:dyDescent="0.35">
      <c r="A28" s="9" t="s">
        <v>83</v>
      </c>
      <c r="B28" s="8">
        <v>45450</v>
      </c>
      <c r="C28" s="7" t="s">
        <v>26</v>
      </c>
      <c r="D28" s="7" t="s">
        <v>68</v>
      </c>
      <c r="E28" s="7" t="s">
        <v>46</v>
      </c>
      <c r="F28" s="7" t="s">
        <v>35</v>
      </c>
      <c r="G28" s="7" t="s">
        <v>41</v>
      </c>
      <c r="H28" s="7" t="s">
        <v>42</v>
      </c>
      <c r="I28" s="7" t="s">
        <v>51</v>
      </c>
      <c r="J28" s="10">
        <v>4</v>
      </c>
    </row>
    <row r="29" spans="1:10" ht="14.4" customHeight="1" thickBot="1" x14ac:dyDescent="0.35">
      <c r="A29" s="9" t="s">
        <v>84</v>
      </c>
      <c r="B29" s="8">
        <v>45378</v>
      </c>
      <c r="C29" s="7" t="s">
        <v>73</v>
      </c>
      <c r="D29" s="7" t="s">
        <v>45</v>
      </c>
      <c r="E29" s="7" t="s">
        <v>39</v>
      </c>
      <c r="F29" s="7" t="s">
        <v>54</v>
      </c>
      <c r="G29" s="7" t="s">
        <v>41</v>
      </c>
      <c r="H29" s="7" t="s">
        <v>66</v>
      </c>
      <c r="I29" s="7" t="s">
        <v>51</v>
      </c>
      <c r="J29" s="10">
        <v>4</v>
      </c>
    </row>
    <row r="30" spans="1:10" ht="14.4" customHeight="1" thickBot="1" x14ac:dyDescent="0.35">
      <c r="A30" s="9" t="s">
        <v>85</v>
      </c>
      <c r="B30" s="8">
        <v>45346</v>
      </c>
      <c r="C30" s="7" t="s">
        <v>34</v>
      </c>
      <c r="D30" s="7" t="s">
        <v>68</v>
      </c>
      <c r="E30" s="7" t="s">
        <v>46</v>
      </c>
      <c r="F30" s="7" t="s">
        <v>54</v>
      </c>
      <c r="G30" s="7" t="s">
        <v>30</v>
      </c>
      <c r="H30" s="7" t="s">
        <v>31</v>
      </c>
      <c r="I30" s="7" t="s">
        <v>32</v>
      </c>
      <c r="J30" s="10">
        <v>0</v>
      </c>
    </row>
    <row r="31" spans="1:10" ht="14.4" customHeight="1" thickBot="1" x14ac:dyDescent="0.35">
      <c r="A31" s="9" t="s">
        <v>86</v>
      </c>
      <c r="B31" s="8">
        <v>45447</v>
      </c>
      <c r="C31" s="7" t="s">
        <v>58</v>
      </c>
      <c r="D31" s="7" t="s">
        <v>50</v>
      </c>
      <c r="E31" s="7" t="s">
        <v>65</v>
      </c>
      <c r="F31" s="7" t="s">
        <v>54</v>
      </c>
      <c r="G31" s="7" t="s">
        <v>36</v>
      </c>
      <c r="H31" s="7" t="s">
        <v>42</v>
      </c>
      <c r="I31" s="7" t="s">
        <v>56</v>
      </c>
      <c r="J31" s="10">
        <v>1</v>
      </c>
    </row>
    <row r="32" spans="1:10" ht="14.4" customHeight="1" thickBot="1" x14ac:dyDescent="0.35">
      <c r="A32" s="9" t="s">
        <v>87</v>
      </c>
      <c r="B32" s="8">
        <v>45442</v>
      </c>
      <c r="C32" s="7" t="s">
        <v>44</v>
      </c>
      <c r="D32" s="7" t="s">
        <v>45</v>
      </c>
      <c r="E32" s="7" t="s">
        <v>74</v>
      </c>
      <c r="F32" s="7" t="s">
        <v>29</v>
      </c>
      <c r="G32" s="7" t="s">
        <v>36</v>
      </c>
      <c r="H32" s="7" t="s">
        <v>31</v>
      </c>
      <c r="I32" s="7" t="s">
        <v>51</v>
      </c>
      <c r="J32" s="10">
        <v>0</v>
      </c>
    </row>
    <row r="33" spans="1:10" ht="14.4" customHeight="1" thickBot="1" x14ac:dyDescent="0.35">
      <c r="A33" s="9" t="s">
        <v>88</v>
      </c>
      <c r="B33" s="8">
        <v>45386</v>
      </c>
      <c r="C33" s="7" t="s">
        <v>26</v>
      </c>
      <c r="D33" s="7" t="s">
        <v>70</v>
      </c>
      <c r="E33" s="7" t="s">
        <v>53</v>
      </c>
      <c r="F33" s="7" t="s">
        <v>40</v>
      </c>
      <c r="G33" s="7" t="s">
        <v>61</v>
      </c>
      <c r="H33" s="7" t="s">
        <v>42</v>
      </c>
      <c r="I33" s="7" t="s">
        <v>32</v>
      </c>
      <c r="J33" s="10">
        <v>0</v>
      </c>
    </row>
    <row r="34" spans="1:10" ht="14.4" customHeight="1" thickBot="1" x14ac:dyDescent="0.35">
      <c r="A34" s="9" t="s">
        <v>89</v>
      </c>
      <c r="B34" s="8">
        <v>45422</v>
      </c>
      <c r="C34" s="7" t="s">
        <v>26</v>
      </c>
      <c r="D34" s="7" t="s">
        <v>27</v>
      </c>
      <c r="E34" s="7" t="s">
        <v>39</v>
      </c>
      <c r="F34" s="7" t="s">
        <v>35</v>
      </c>
      <c r="G34" s="7" t="s">
        <v>30</v>
      </c>
      <c r="H34" s="7" t="s">
        <v>66</v>
      </c>
      <c r="I34" s="7" t="s">
        <v>47</v>
      </c>
      <c r="J34" s="10">
        <v>4</v>
      </c>
    </row>
    <row r="35" spans="1:10" ht="14.4" customHeight="1" thickBot="1" x14ac:dyDescent="0.35">
      <c r="A35" s="9" t="s">
        <v>90</v>
      </c>
      <c r="B35" s="8">
        <v>45353</v>
      </c>
      <c r="C35" s="7" t="s">
        <v>73</v>
      </c>
      <c r="D35" s="7" t="s">
        <v>50</v>
      </c>
      <c r="E35" s="7" t="s">
        <v>28</v>
      </c>
      <c r="F35" s="7" t="s">
        <v>54</v>
      </c>
      <c r="G35" s="7" t="s">
        <v>36</v>
      </c>
      <c r="H35" s="7" t="s">
        <v>66</v>
      </c>
      <c r="I35" s="7" t="s">
        <v>51</v>
      </c>
      <c r="J35" s="10">
        <v>4</v>
      </c>
    </row>
    <row r="36" spans="1:10" ht="14.4" customHeight="1" thickBot="1" x14ac:dyDescent="0.35">
      <c r="A36" s="9" t="s">
        <v>91</v>
      </c>
      <c r="B36" s="8">
        <v>45398</v>
      </c>
      <c r="C36" s="7" t="s">
        <v>44</v>
      </c>
      <c r="D36" s="7" t="s">
        <v>70</v>
      </c>
      <c r="E36" s="7" t="s">
        <v>53</v>
      </c>
      <c r="F36" s="7" t="s">
        <v>35</v>
      </c>
      <c r="G36" s="7" t="s">
        <v>41</v>
      </c>
      <c r="H36" s="7" t="s">
        <v>66</v>
      </c>
      <c r="I36" s="7" t="s">
        <v>37</v>
      </c>
      <c r="J36" s="10">
        <v>0</v>
      </c>
    </row>
    <row r="37" spans="1:10" ht="14.4" customHeight="1" thickBot="1" x14ac:dyDescent="0.35">
      <c r="A37" s="9" t="s">
        <v>92</v>
      </c>
      <c r="B37" s="8">
        <v>45452</v>
      </c>
      <c r="C37" s="7" t="s">
        <v>79</v>
      </c>
      <c r="D37" s="7" t="s">
        <v>68</v>
      </c>
      <c r="E37" s="7" t="s">
        <v>65</v>
      </c>
      <c r="F37" s="7" t="s">
        <v>54</v>
      </c>
      <c r="G37" s="7" t="s">
        <v>61</v>
      </c>
      <c r="H37" s="7" t="s">
        <v>66</v>
      </c>
      <c r="I37" s="7" t="s">
        <v>32</v>
      </c>
      <c r="J37" s="10">
        <v>5</v>
      </c>
    </row>
    <row r="38" spans="1:10" ht="14.4" customHeight="1" thickBot="1" x14ac:dyDescent="0.35">
      <c r="A38" s="9" t="s">
        <v>93</v>
      </c>
      <c r="B38" s="8">
        <v>45347</v>
      </c>
      <c r="C38" s="7" t="s">
        <v>73</v>
      </c>
      <c r="D38" s="7" t="s">
        <v>70</v>
      </c>
      <c r="E38" s="7" t="s">
        <v>28</v>
      </c>
      <c r="F38" s="7" t="s">
        <v>54</v>
      </c>
      <c r="G38" s="7" t="s">
        <v>36</v>
      </c>
      <c r="H38" s="7" t="s">
        <v>42</v>
      </c>
      <c r="I38" s="7" t="s">
        <v>56</v>
      </c>
      <c r="J38" s="10">
        <v>2</v>
      </c>
    </row>
    <row r="39" spans="1:10" ht="14.4" customHeight="1" thickBot="1" x14ac:dyDescent="0.35">
      <c r="A39" s="9" t="s">
        <v>94</v>
      </c>
      <c r="B39" s="8">
        <v>45467</v>
      </c>
      <c r="C39" s="7" t="s">
        <v>44</v>
      </c>
      <c r="D39" s="7" t="s">
        <v>68</v>
      </c>
      <c r="E39" s="7" t="s">
        <v>28</v>
      </c>
      <c r="F39" s="7" t="s">
        <v>40</v>
      </c>
      <c r="G39" s="7" t="s">
        <v>36</v>
      </c>
      <c r="H39" s="7" t="s">
        <v>42</v>
      </c>
      <c r="I39" s="7" t="s">
        <v>37</v>
      </c>
      <c r="J39" s="10">
        <v>1</v>
      </c>
    </row>
    <row r="40" spans="1:10" ht="14.4" customHeight="1" thickBot="1" x14ac:dyDescent="0.35">
      <c r="A40" s="9" t="s">
        <v>95</v>
      </c>
      <c r="B40" s="8">
        <v>45403</v>
      </c>
      <c r="C40" s="7" t="s">
        <v>79</v>
      </c>
      <c r="D40" s="7" t="s">
        <v>50</v>
      </c>
      <c r="E40" s="7" t="s">
        <v>39</v>
      </c>
      <c r="F40" s="7" t="s">
        <v>29</v>
      </c>
      <c r="G40" s="7" t="s">
        <v>41</v>
      </c>
      <c r="H40" s="7" t="s">
        <v>55</v>
      </c>
      <c r="I40" s="7" t="s">
        <v>56</v>
      </c>
      <c r="J40" s="10">
        <v>1</v>
      </c>
    </row>
    <row r="41" spans="1:10" ht="14.4" customHeight="1" thickBot="1" x14ac:dyDescent="0.35">
      <c r="A41" s="9" t="s">
        <v>96</v>
      </c>
      <c r="B41" s="8">
        <v>45293</v>
      </c>
      <c r="C41" s="7" t="s">
        <v>34</v>
      </c>
      <c r="D41" s="7" t="s">
        <v>27</v>
      </c>
      <c r="E41" s="7" t="s">
        <v>46</v>
      </c>
      <c r="F41" s="7" t="s">
        <v>29</v>
      </c>
      <c r="G41" s="7" t="s">
        <v>61</v>
      </c>
      <c r="H41" s="7" t="s">
        <v>66</v>
      </c>
      <c r="I41" s="7" t="s">
        <v>59</v>
      </c>
      <c r="J41" s="10">
        <v>3</v>
      </c>
    </row>
    <row r="42" spans="1:10" ht="14.4" customHeight="1" thickBot="1" x14ac:dyDescent="0.35">
      <c r="A42" s="9" t="s">
        <v>97</v>
      </c>
      <c r="B42" s="8">
        <v>45436</v>
      </c>
      <c r="C42" s="7" t="s">
        <v>79</v>
      </c>
      <c r="D42" s="7" t="s">
        <v>50</v>
      </c>
      <c r="E42" s="7" t="s">
        <v>28</v>
      </c>
      <c r="F42" s="7" t="s">
        <v>29</v>
      </c>
      <c r="G42" s="7" t="s">
        <v>61</v>
      </c>
      <c r="H42" s="7" t="s">
        <v>31</v>
      </c>
      <c r="I42" s="7" t="s">
        <v>37</v>
      </c>
      <c r="J42" s="10">
        <v>4</v>
      </c>
    </row>
    <row r="43" spans="1:10" ht="14.4" customHeight="1" thickBot="1" x14ac:dyDescent="0.35">
      <c r="A43" s="9" t="s">
        <v>98</v>
      </c>
      <c r="B43" s="8">
        <v>45317</v>
      </c>
      <c r="C43" s="7" t="s">
        <v>64</v>
      </c>
      <c r="D43" s="7" t="s">
        <v>68</v>
      </c>
      <c r="E43" s="7" t="s">
        <v>65</v>
      </c>
      <c r="F43" s="7" t="s">
        <v>29</v>
      </c>
      <c r="G43" s="7" t="s">
        <v>41</v>
      </c>
      <c r="H43" s="7" t="s">
        <v>55</v>
      </c>
      <c r="I43" s="7" t="s">
        <v>32</v>
      </c>
      <c r="J43" s="10">
        <v>5</v>
      </c>
    </row>
    <row r="44" spans="1:10" ht="14.4" customHeight="1" thickBot="1" x14ac:dyDescent="0.35">
      <c r="A44" s="9" t="s">
        <v>99</v>
      </c>
      <c r="B44" s="8">
        <v>45314</v>
      </c>
      <c r="C44" s="7" t="s">
        <v>49</v>
      </c>
      <c r="D44" s="7" t="s">
        <v>27</v>
      </c>
      <c r="E44" s="7" t="s">
        <v>28</v>
      </c>
      <c r="F44" s="7" t="s">
        <v>40</v>
      </c>
      <c r="G44" s="7" t="s">
        <v>41</v>
      </c>
      <c r="H44" s="7" t="s">
        <v>66</v>
      </c>
      <c r="I44" s="7" t="s">
        <v>59</v>
      </c>
      <c r="J44" s="10">
        <v>0</v>
      </c>
    </row>
    <row r="45" spans="1:10" ht="14.4" customHeight="1" thickBot="1" x14ac:dyDescent="0.35">
      <c r="A45" s="9" t="s">
        <v>100</v>
      </c>
      <c r="B45" s="8">
        <v>45408</v>
      </c>
      <c r="C45" s="7" t="s">
        <v>44</v>
      </c>
      <c r="D45" s="7" t="s">
        <v>50</v>
      </c>
      <c r="E45" s="7" t="s">
        <v>53</v>
      </c>
      <c r="F45" s="7" t="s">
        <v>35</v>
      </c>
      <c r="G45" s="7" t="s">
        <v>41</v>
      </c>
      <c r="H45" s="7" t="s">
        <v>42</v>
      </c>
      <c r="I45" s="7" t="s">
        <v>59</v>
      </c>
      <c r="J45" s="10">
        <v>2</v>
      </c>
    </row>
    <row r="46" spans="1:10" ht="14.4" customHeight="1" thickBot="1" x14ac:dyDescent="0.35">
      <c r="A46" s="9" t="s">
        <v>101</v>
      </c>
      <c r="B46" s="8">
        <v>45365</v>
      </c>
      <c r="C46" s="7" t="s">
        <v>26</v>
      </c>
      <c r="D46" s="7" t="s">
        <v>27</v>
      </c>
      <c r="E46" s="7" t="s">
        <v>28</v>
      </c>
      <c r="F46" s="7" t="s">
        <v>54</v>
      </c>
      <c r="G46" s="7" t="s">
        <v>36</v>
      </c>
      <c r="H46" s="7" t="s">
        <v>42</v>
      </c>
      <c r="I46" s="7" t="s">
        <v>51</v>
      </c>
      <c r="J46" s="10">
        <v>1</v>
      </c>
    </row>
    <row r="47" spans="1:10" ht="14.4" customHeight="1" thickBot="1" x14ac:dyDescent="0.35">
      <c r="A47" s="9" t="s">
        <v>102</v>
      </c>
      <c r="B47" s="8">
        <v>45301</v>
      </c>
      <c r="C47" s="7" t="s">
        <v>26</v>
      </c>
      <c r="D47" s="7" t="s">
        <v>50</v>
      </c>
      <c r="E47" s="7" t="s">
        <v>28</v>
      </c>
      <c r="F47" s="7" t="s">
        <v>29</v>
      </c>
      <c r="G47" s="7" t="s">
        <v>61</v>
      </c>
      <c r="H47" s="7" t="s">
        <v>55</v>
      </c>
      <c r="I47" s="7" t="s">
        <v>47</v>
      </c>
      <c r="J47" s="10">
        <v>4</v>
      </c>
    </row>
    <row r="48" spans="1:10" ht="14.4" customHeight="1" thickBot="1" x14ac:dyDescent="0.35">
      <c r="A48" s="9" t="s">
        <v>103</v>
      </c>
      <c r="B48" s="8">
        <v>45410</v>
      </c>
      <c r="C48" s="7" t="s">
        <v>34</v>
      </c>
      <c r="D48" s="7" t="s">
        <v>45</v>
      </c>
      <c r="E48" s="7" t="s">
        <v>53</v>
      </c>
      <c r="F48" s="7" t="s">
        <v>35</v>
      </c>
      <c r="G48" s="7" t="s">
        <v>41</v>
      </c>
      <c r="H48" s="7" t="s">
        <v>55</v>
      </c>
      <c r="I48" s="7" t="s">
        <v>59</v>
      </c>
      <c r="J48" s="10">
        <v>2</v>
      </c>
    </row>
    <row r="49" spans="1:10" ht="14.4" customHeight="1" thickBot="1" x14ac:dyDescent="0.35">
      <c r="A49" s="9" t="s">
        <v>104</v>
      </c>
      <c r="B49" s="8">
        <v>45314</v>
      </c>
      <c r="C49" s="7" t="s">
        <v>49</v>
      </c>
      <c r="D49" s="7" t="s">
        <v>27</v>
      </c>
      <c r="E49" s="7" t="s">
        <v>39</v>
      </c>
      <c r="F49" s="7" t="s">
        <v>40</v>
      </c>
      <c r="G49" s="7" t="s">
        <v>41</v>
      </c>
      <c r="H49" s="7" t="s">
        <v>55</v>
      </c>
      <c r="I49" s="7" t="s">
        <v>47</v>
      </c>
      <c r="J49" s="10">
        <v>2</v>
      </c>
    </row>
    <row r="50" spans="1:10" ht="14.4" customHeight="1" thickBot="1" x14ac:dyDescent="0.35">
      <c r="A50" s="9" t="s">
        <v>105</v>
      </c>
      <c r="B50" s="8">
        <v>45370</v>
      </c>
      <c r="C50" s="7" t="s">
        <v>26</v>
      </c>
      <c r="D50" s="7" t="s">
        <v>50</v>
      </c>
      <c r="E50" s="7" t="s">
        <v>53</v>
      </c>
      <c r="F50" s="7" t="s">
        <v>40</v>
      </c>
      <c r="G50" s="7" t="s">
        <v>61</v>
      </c>
      <c r="H50" s="7" t="s">
        <v>42</v>
      </c>
      <c r="I50" s="7" t="s">
        <v>51</v>
      </c>
      <c r="J50" s="10">
        <v>4</v>
      </c>
    </row>
    <row r="51" spans="1:10" ht="14.4" customHeight="1" thickBot="1" x14ac:dyDescent="0.35">
      <c r="A51" s="9" t="s">
        <v>106</v>
      </c>
      <c r="B51" s="8">
        <v>45371</v>
      </c>
      <c r="C51" s="7" t="s">
        <v>26</v>
      </c>
      <c r="D51" s="7" t="s">
        <v>27</v>
      </c>
      <c r="E51" s="7" t="s">
        <v>74</v>
      </c>
      <c r="F51" s="7" t="s">
        <v>29</v>
      </c>
      <c r="G51" s="7" t="s">
        <v>61</v>
      </c>
      <c r="H51" s="7" t="s">
        <v>66</v>
      </c>
      <c r="I51" s="7" t="s">
        <v>47</v>
      </c>
      <c r="J51" s="10">
        <v>3</v>
      </c>
    </row>
    <row r="52" spans="1:10" ht="14.4" customHeight="1" thickBot="1" x14ac:dyDescent="0.35">
      <c r="A52" s="9" t="s">
        <v>107</v>
      </c>
      <c r="B52" s="8">
        <v>45417</v>
      </c>
      <c r="C52" s="7" t="s">
        <v>34</v>
      </c>
      <c r="D52" s="7" t="s">
        <v>50</v>
      </c>
      <c r="E52" s="7" t="s">
        <v>65</v>
      </c>
      <c r="F52" s="7" t="s">
        <v>54</v>
      </c>
      <c r="G52" s="7" t="s">
        <v>30</v>
      </c>
      <c r="H52" s="7" t="s">
        <v>55</v>
      </c>
      <c r="I52" s="7" t="s">
        <v>59</v>
      </c>
      <c r="J52" s="10">
        <v>0</v>
      </c>
    </row>
    <row r="53" spans="1:10" ht="14.4" customHeight="1" thickBot="1" x14ac:dyDescent="0.35">
      <c r="A53" s="9" t="s">
        <v>108</v>
      </c>
      <c r="B53" s="8">
        <v>45402</v>
      </c>
      <c r="C53" s="7" t="s">
        <v>26</v>
      </c>
      <c r="D53" s="7" t="s">
        <v>27</v>
      </c>
      <c r="E53" s="7" t="s">
        <v>53</v>
      </c>
      <c r="F53" s="7" t="s">
        <v>35</v>
      </c>
      <c r="G53" s="7" t="s">
        <v>30</v>
      </c>
      <c r="H53" s="7" t="s">
        <v>66</v>
      </c>
      <c r="I53" s="7" t="s">
        <v>32</v>
      </c>
      <c r="J53" s="10">
        <v>1</v>
      </c>
    </row>
    <row r="54" spans="1:10" ht="14.4" customHeight="1" thickBot="1" x14ac:dyDescent="0.35">
      <c r="A54" s="9" t="s">
        <v>109</v>
      </c>
      <c r="B54" s="8">
        <v>45466</v>
      </c>
      <c r="C54" s="7" t="s">
        <v>73</v>
      </c>
      <c r="D54" s="7" t="s">
        <v>50</v>
      </c>
      <c r="E54" s="7" t="s">
        <v>65</v>
      </c>
      <c r="F54" s="7" t="s">
        <v>54</v>
      </c>
      <c r="G54" s="7" t="s">
        <v>61</v>
      </c>
      <c r="H54" s="7" t="s">
        <v>42</v>
      </c>
      <c r="I54" s="7" t="s">
        <v>56</v>
      </c>
      <c r="J54" s="10">
        <v>0</v>
      </c>
    </row>
    <row r="55" spans="1:10" ht="14.4" customHeight="1" thickBot="1" x14ac:dyDescent="0.35">
      <c r="A55" s="9" t="s">
        <v>110</v>
      </c>
      <c r="B55" s="8">
        <v>45369</v>
      </c>
      <c r="C55" s="7" t="s">
        <v>79</v>
      </c>
      <c r="D55" s="7" t="s">
        <v>45</v>
      </c>
      <c r="E55" s="7" t="s">
        <v>65</v>
      </c>
      <c r="F55" s="7" t="s">
        <v>29</v>
      </c>
      <c r="G55" s="7" t="s">
        <v>30</v>
      </c>
      <c r="H55" s="7" t="s">
        <v>31</v>
      </c>
      <c r="I55" s="7" t="s">
        <v>51</v>
      </c>
      <c r="J55" s="10">
        <v>5</v>
      </c>
    </row>
    <row r="56" spans="1:10" ht="14.4" customHeight="1" thickBot="1" x14ac:dyDescent="0.35">
      <c r="A56" s="9" t="s">
        <v>111</v>
      </c>
      <c r="B56" s="8">
        <v>45436</v>
      </c>
      <c r="C56" s="7" t="s">
        <v>49</v>
      </c>
      <c r="D56" s="7" t="s">
        <v>70</v>
      </c>
      <c r="E56" s="7" t="s">
        <v>46</v>
      </c>
      <c r="F56" s="7" t="s">
        <v>35</v>
      </c>
      <c r="G56" s="7" t="s">
        <v>36</v>
      </c>
      <c r="H56" s="7" t="s">
        <v>55</v>
      </c>
      <c r="I56" s="7" t="s">
        <v>59</v>
      </c>
      <c r="J56" s="10">
        <v>2</v>
      </c>
    </row>
    <row r="57" spans="1:10" ht="14.4" customHeight="1" thickBot="1" x14ac:dyDescent="0.35">
      <c r="A57" s="9" t="s">
        <v>112</v>
      </c>
      <c r="B57" s="8">
        <v>45383</v>
      </c>
      <c r="C57" s="7" t="s">
        <v>64</v>
      </c>
      <c r="D57" s="7" t="s">
        <v>45</v>
      </c>
      <c r="E57" s="7" t="s">
        <v>39</v>
      </c>
      <c r="F57" s="7" t="s">
        <v>40</v>
      </c>
      <c r="G57" s="7" t="s">
        <v>30</v>
      </c>
      <c r="H57" s="7" t="s">
        <v>31</v>
      </c>
      <c r="I57" s="7" t="s">
        <v>56</v>
      </c>
      <c r="J57" s="10">
        <v>0</v>
      </c>
    </row>
    <row r="58" spans="1:10" ht="14.4" customHeight="1" thickBot="1" x14ac:dyDescent="0.35">
      <c r="A58" s="9" t="s">
        <v>113</v>
      </c>
      <c r="B58" s="8">
        <v>45347</v>
      </c>
      <c r="C58" s="7" t="s">
        <v>58</v>
      </c>
      <c r="D58" s="7" t="s">
        <v>50</v>
      </c>
      <c r="E58" s="7" t="s">
        <v>46</v>
      </c>
      <c r="F58" s="7" t="s">
        <v>35</v>
      </c>
      <c r="G58" s="7" t="s">
        <v>36</v>
      </c>
      <c r="H58" s="7" t="s">
        <v>66</v>
      </c>
      <c r="I58" s="7" t="s">
        <v>51</v>
      </c>
      <c r="J58" s="10">
        <v>2</v>
      </c>
    </row>
    <row r="59" spans="1:10" ht="14.4" customHeight="1" thickBot="1" x14ac:dyDescent="0.35">
      <c r="A59" s="9" t="s">
        <v>114</v>
      </c>
      <c r="B59" s="8">
        <v>45311</v>
      </c>
      <c r="C59" s="7" t="s">
        <v>79</v>
      </c>
      <c r="D59" s="7" t="s">
        <v>70</v>
      </c>
      <c r="E59" s="7" t="s">
        <v>53</v>
      </c>
      <c r="F59" s="7" t="s">
        <v>40</v>
      </c>
      <c r="G59" s="7" t="s">
        <v>41</v>
      </c>
      <c r="H59" s="7" t="s">
        <v>31</v>
      </c>
      <c r="I59" s="7" t="s">
        <v>56</v>
      </c>
      <c r="J59" s="10">
        <v>3</v>
      </c>
    </row>
    <row r="60" spans="1:10" ht="14.4" customHeight="1" thickBot="1" x14ac:dyDescent="0.35">
      <c r="A60" s="9" t="s">
        <v>115</v>
      </c>
      <c r="B60" s="8">
        <v>45345</v>
      </c>
      <c r="C60" s="7" t="s">
        <v>26</v>
      </c>
      <c r="D60" s="7" t="s">
        <v>50</v>
      </c>
      <c r="E60" s="7" t="s">
        <v>46</v>
      </c>
      <c r="F60" s="7" t="s">
        <v>40</v>
      </c>
      <c r="G60" s="7" t="s">
        <v>30</v>
      </c>
      <c r="H60" s="7" t="s">
        <v>66</v>
      </c>
      <c r="I60" s="7" t="s">
        <v>56</v>
      </c>
      <c r="J60" s="10">
        <v>5</v>
      </c>
    </row>
    <row r="61" spans="1:10" ht="14.4" customHeight="1" thickBot="1" x14ac:dyDescent="0.35">
      <c r="A61" s="9" t="s">
        <v>116</v>
      </c>
      <c r="B61" s="8">
        <v>45433</v>
      </c>
      <c r="C61" s="7" t="s">
        <v>26</v>
      </c>
      <c r="D61" s="7" t="s">
        <v>27</v>
      </c>
      <c r="E61" s="7" t="s">
        <v>28</v>
      </c>
      <c r="F61" s="7" t="s">
        <v>29</v>
      </c>
      <c r="G61" s="7" t="s">
        <v>36</v>
      </c>
      <c r="H61" s="7" t="s">
        <v>31</v>
      </c>
      <c r="I61" s="7" t="s">
        <v>47</v>
      </c>
      <c r="J61" s="10">
        <v>4</v>
      </c>
    </row>
    <row r="62" spans="1:10" ht="14.4" customHeight="1" thickBot="1" x14ac:dyDescent="0.35">
      <c r="A62" s="9" t="s">
        <v>117</v>
      </c>
      <c r="B62" s="8">
        <v>45374</v>
      </c>
      <c r="C62" s="7" t="s">
        <v>49</v>
      </c>
      <c r="D62" s="7" t="s">
        <v>27</v>
      </c>
      <c r="E62" s="7" t="s">
        <v>74</v>
      </c>
      <c r="F62" s="7" t="s">
        <v>35</v>
      </c>
      <c r="G62" s="7" t="s">
        <v>41</v>
      </c>
      <c r="H62" s="7" t="s">
        <v>31</v>
      </c>
      <c r="I62" s="7" t="s">
        <v>56</v>
      </c>
      <c r="J62" s="10">
        <v>3</v>
      </c>
    </row>
    <row r="63" spans="1:10" ht="14.4" customHeight="1" thickBot="1" x14ac:dyDescent="0.35">
      <c r="A63" s="9" t="s">
        <v>118</v>
      </c>
      <c r="B63" s="8">
        <v>45433</v>
      </c>
      <c r="C63" s="7" t="s">
        <v>49</v>
      </c>
      <c r="D63" s="7" t="s">
        <v>27</v>
      </c>
      <c r="E63" s="7" t="s">
        <v>74</v>
      </c>
      <c r="F63" s="7" t="s">
        <v>40</v>
      </c>
      <c r="G63" s="7" t="s">
        <v>41</v>
      </c>
      <c r="H63" s="7" t="s">
        <v>55</v>
      </c>
      <c r="I63" s="7" t="s">
        <v>59</v>
      </c>
      <c r="J63" s="10">
        <v>5</v>
      </c>
    </row>
    <row r="64" spans="1:10" ht="14.4" customHeight="1" thickBot="1" x14ac:dyDescent="0.35">
      <c r="A64" s="9" t="s">
        <v>119</v>
      </c>
      <c r="B64" s="8">
        <v>45367</v>
      </c>
      <c r="C64" s="7" t="s">
        <v>26</v>
      </c>
      <c r="D64" s="7" t="s">
        <v>45</v>
      </c>
      <c r="E64" s="7" t="s">
        <v>28</v>
      </c>
      <c r="F64" s="7" t="s">
        <v>35</v>
      </c>
      <c r="G64" s="7" t="s">
        <v>61</v>
      </c>
      <c r="H64" s="7" t="s">
        <v>55</v>
      </c>
      <c r="I64" s="7" t="s">
        <v>47</v>
      </c>
      <c r="J64" s="10">
        <v>2</v>
      </c>
    </row>
    <row r="65" spans="1:10" ht="14.4" customHeight="1" thickBot="1" x14ac:dyDescent="0.35">
      <c r="A65" s="9" t="s">
        <v>120</v>
      </c>
      <c r="B65" s="8">
        <v>45317</v>
      </c>
      <c r="C65" s="7" t="s">
        <v>34</v>
      </c>
      <c r="D65" s="7" t="s">
        <v>45</v>
      </c>
      <c r="E65" s="7" t="s">
        <v>53</v>
      </c>
      <c r="F65" s="7" t="s">
        <v>35</v>
      </c>
      <c r="G65" s="7" t="s">
        <v>41</v>
      </c>
      <c r="H65" s="7" t="s">
        <v>42</v>
      </c>
      <c r="I65" s="7" t="s">
        <v>59</v>
      </c>
      <c r="J65" s="10">
        <v>4</v>
      </c>
    </row>
    <row r="66" spans="1:10" ht="14.4" customHeight="1" thickBot="1" x14ac:dyDescent="0.35">
      <c r="A66" s="9" t="s">
        <v>121</v>
      </c>
      <c r="B66" s="8">
        <v>45426</v>
      </c>
      <c r="C66" s="7" t="s">
        <v>44</v>
      </c>
      <c r="D66" s="7" t="s">
        <v>27</v>
      </c>
      <c r="E66" s="7" t="s">
        <v>53</v>
      </c>
      <c r="F66" s="7" t="s">
        <v>54</v>
      </c>
      <c r="G66" s="7" t="s">
        <v>30</v>
      </c>
      <c r="H66" s="7" t="s">
        <v>42</v>
      </c>
      <c r="I66" s="7" t="s">
        <v>56</v>
      </c>
      <c r="J66" s="10">
        <v>2</v>
      </c>
    </row>
    <row r="67" spans="1:10" ht="14.4" customHeight="1" thickBot="1" x14ac:dyDescent="0.35">
      <c r="A67" s="9" t="s">
        <v>122</v>
      </c>
      <c r="B67" s="8">
        <v>45423</v>
      </c>
      <c r="C67" s="7" t="s">
        <v>26</v>
      </c>
      <c r="D67" s="7" t="s">
        <v>50</v>
      </c>
      <c r="E67" s="7" t="s">
        <v>39</v>
      </c>
      <c r="F67" s="7" t="s">
        <v>35</v>
      </c>
      <c r="G67" s="7" t="s">
        <v>41</v>
      </c>
      <c r="H67" s="7" t="s">
        <v>42</v>
      </c>
      <c r="I67" s="7" t="s">
        <v>47</v>
      </c>
      <c r="J67" s="10">
        <v>5</v>
      </c>
    </row>
    <row r="68" spans="1:10" ht="14.4" customHeight="1" thickBot="1" x14ac:dyDescent="0.35">
      <c r="A68" s="9" t="s">
        <v>123</v>
      </c>
      <c r="B68" s="8">
        <v>45355</v>
      </c>
      <c r="C68" s="7" t="s">
        <v>34</v>
      </c>
      <c r="D68" s="7" t="s">
        <v>45</v>
      </c>
      <c r="E68" s="7" t="s">
        <v>65</v>
      </c>
      <c r="F68" s="7" t="s">
        <v>35</v>
      </c>
      <c r="G68" s="7" t="s">
        <v>36</v>
      </c>
      <c r="H68" s="7" t="s">
        <v>55</v>
      </c>
      <c r="I68" s="7" t="s">
        <v>59</v>
      </c>
      <c r="J68" s="10">
        <v>5</v>
      </c>
    </row>
    <row r="69" spans="1:10" ht="14.4" customHeight="1" thickBot="1" x14ac:dyDescent="0.35">
      <c r="A69" s="9" t="s">
        <v>124</v>
      </c>
      <c r="B69" s="8">
        <v>45453</v>
      </c>
      <c r="C69" s="7" t="s">
        <v>73</v>
      </c>
      <c r="D69" s="7" t="s">
        <v>50</v>
      </c>
      <c r="E69" s="7" t="s">
        <v>28</v>
      </c>
      <c r="F69" s="7" t="s">
        <v>29</v>
      </c>
      <c r="G69" s="7" t="s">
        <v>41</v>
      </c>
      <c r="H69" s="7" t="s">
        <v>66</v>
      </c>
      <c r="I69" s="7" t="s">
        <v>47</v>
      </c>
      <c r="J69" s="10">
        <v>1</v>
      </c>
    </row>
    <row r="70" spans="1:10" ht="14.4" customHeight="1" thickBot="1" x14ac:dyDescent="0.35">
      <c r="A70" s="9" t="s">
        <v>125</v>
      </c>
      <c r="B70" s="8">
        <v>45301</v>
      </c>
      <c r="C70" s="7" t="s">
        <v>79</v>
      </c>
      <c r="D70" s="7" t="s">
        <v>27</v>
      </c>
      <c r="E70" s="7" t="s">
        <v>74</v>
      </c>
      <c r="F70" s="7" t="s">
        <v>54</v>
      </c>
      <c r="G70" s="7" t="s">
        <v>41</v>
      </c>
      <c r="H70" s="7" t="s">
        <v>66</v>
      </c>
      <c r="I70" s="7" t="s">
        <v>59</v>
      </c>
      <c r="J70" s="10">
        <v>4</v>
      </c>
    </row>
    <row r="71" spans="1:10" ht="14.4" customHeight="1" thickBot="1" x14ac:dyDescent="0.35">
      <c r="A71" s="9" t="s">
        <v>126</v>
      </c>
      <c r="B71" s="8">
        <v>45360</v>
      </c>
      <c r="C71" s="7" t="s">
        <v>44</v>
      </c>
      <c r="D71" s="7" t="s">
        <v>70</v>
      </c>
      <c r="E71" s="7" t="s">
        <v>28</v>
      </c>
      <c r="F71" s="7" t="s">
        <v>40</v>
      </c>
      <c r="G71" s="7" t="s">
        <v>30</v>
      </c>
      <c r="H71" s="7" t="s">
        <v>55</v>
      </c>
      <c r="I71" s="7" t="s">
        <v>37</v>
      </c>
      <c r="J71" s="10">
        <v>1</v>
      </c>
    </row>
    <row r="72" spans="1:10" ht="14.4" customHeight="1" thickBot="1" x14ac:dyDescent="0.35">
      <c r="A72" s="9" t="s">
        <v>127</v>
      </c>
      <c r="B72" s="8">
        <v>45367</v>
      </c>
      <c r="C72" s="7" t="s">
        <v>64</v>
      </c>
      <c r="D72" s="7" t="s">
        <v>27</v>
      </c>
      <c r="E72" s="7" t="s">
        <v>65</v>
      </c>
      <c r="F72" s="7" t="s">
        <v>40</v>
      </c>
      <c r="G72" s="7" t="s">
        <v>61</v>
      </c>
      <c r="H72" s="7" t="s">
        <v>55</v>
      </c>
      <c r="I72" s="7" t="s">
        <v>32</v>
      </c>
      <c r="J72" s="10">
        <v>2</v>
      </c>
    </row>
    <row r="73" spans="1:10" ht="14.4" customHeight="1" thickBot="1" x14ac:dyDescent="0.35">
      <c r="A73" s="9" t="s">
        <v>128</v>
      </c>
      <c r="B73" s="8">
        <v>45337</v>
      </c>
      <c r="C73" s="7" t="s">
        <v>49</v>
      </c>
      <c r="D73" s="7" t="s">
        <v>45</v>
      </c>
      <c r="E73" s="7" t="s">
        <v>39</v>
      </c>
      <c r="F73" s="7" t="s">
        <v>29</v>
      </c>
      <c r="G73" s="7" t="s">
        <v>61</v>
      </c>
      <c r="H73" s="7" t="s">
        <v>42</v>
      </c>
      <c r="I73" s="7" t="s">
        <v>59</v>
      </c>
      <c r="J73" s="10">
        <v>1</v>
      </c>
    </row>
    <row r="74" spans="1:10" ht="14.4" customHeight="1" thickBot="1" x14ac:dyDescent="0.35">
      <c r="A74" s="9" t="s">
        <v>129</v>
      </c>
      <c r="B74" s="8">
        <v>45417</v>
      </c>
      <c r="C74" s="7" t="s">
        <v>49</v>
      </c>
      <c r="D74" s="7" t="s">
        <v>27</v>
      </c>
      <c r="E74" s="7" t="s">
        <v>39</v>
      </c>
      <c r="F74" s="7" t="s">
        <v>40</v>
      </c>
      <c r="G74" s="7" t="s">
        <v>36</v>
      </c>
      <c r="H74" s="7" t="s">
        <v>31</v>
      </c>
      <c r="I74" s="7" t="s">
        <v>56</v>
      </c>
      <c r="J74" s="10">
        <v>3</v>
      </c>
    </row>
    <row r="75" spans="1:10" ht="14.4" customHeight="1" thickBot="1" x14ac:dyDescent="0.35">
      <c r="A75" s="9" t="s">
        <v>130</v>
      </c>
      <c r="B75" s="8">
        <v>45408</v>
      </c>
      <c r="C75" s="7" t="s">
        <v>34</v>
      </c>
      <c r="D75" s="7" t="s">
        <v>50</v>
      </c>
      <c r="E75" s="7" t="s">
        <v>65</v>
      </c>
      <c r="F75" s="7" t="s">
        <v>54</v>
      </c>
      <c r="G75" s="7" t="s">
        <v>41</v>
      </c>
      <c r="H75" s="7" t="s">
        <v>31</v>
      </c>
      <c r="I75" s="7" t="s">
        <v>32</v>
      </c>
      <c r="J75" s="10">
        <v>0</v>
      </c>
    </row>
    <row r="76" spans="1:10" ht="14.4" customHeight="1" thickBot="1" x14ac:dyDescent="0.35">
      <c r="A76" s="9" t="s">
        <v>131</v>
      </c>
      <c r="B76" s="8">
        <v>45302</v>
      </c>
      <c r="C76" s="7" t="s">
        <v>79</v>
      </c>
      <c r="D76" s="7" t="s">
        <v>50</v>
      </c>
      <c r="E76" s="7" t="s">
        <v>39</v>
      </c>
      <c r="F76" s="7" t="s">
        <v>35</v>
      </c>
      <c r="G76" s="7" t="s">
        <v>36</v>
      </c>
      <c r="H76" s="7" t="s">
        <v>55</v>
      </c>
      <c r="I76" s="7" t="s">
        <v>59</v>
      </c>
      <c r="J76" s="10">
        <v>4</v>
      </c>
    </row>
    <row r="77" spans="1:10" ht="14.4" customHeight="1" thickBot="1" x14ac:dyDescent="0.35">
      <c r="A77" s="9" t="s">
        <v>132</v>
      </c>
      <c r="B77" s="8">
        <v>45430</v>
      </c>
      <c r="C77" s="7" t="s">
        <v>73</v>
      </c>
      <c r="D77" s="7" t="s">
        <v>68</v>
      </c>
      <c r="E77" s="7" t="s">
        <v>53</v>
      </c>
      <c r="F77" s="7" t="s">
        <v>29</v>
      </c>
      <c r="G77" s="7" t="s">
        <v>30</v>
      </c>
      <c r="H77" s="7" t="s">
        <v>55</v>
      </c>
      <c r="I77" s="7" t="s">
        <v>32</v>
      </c>
      <c r="J77" s="10">
        <v>2</v>
      </c>
    </row>
    <row r="78" spans="1:10" ht="14.4" customHeight="1" thickBot="1" x14ac:dyDescent="0.35">
      <c r="A78" s="9" t="s">
        <v>133</v>
      </c>
      <c r="B78" s="8">
        <v>45448</v>
      </c>
      <c r="C78" s="7" t="s">
        <v>34</v>
      </c>
      <c r="D78" s="7" t="s">
        <v>50</v>
      </c>
      <c r="E78" s="7" t="s">
        <v>74</v>
      </c>
      <c r="F78" s="7" t="s">
        <v>54</v>
      </c>
      <c r="G78" s="7" t="s">
        <v>30</v>
      </c>
      <c r="H78" s="7" t="s">
        <v>66</v>
      </c>
      <c r="I78" s="7" t="s">
        <v>56</v>
      </c>
      <c r="J78" s="10">
        <v>4</v>
      </c>
    </row>
    <row r="79" spans="1:10" ht="14.4" customHeight="1" thickBot="1" x14ac:dyDescent="0.35">
      <c r="A79" s="9" t="s">
        <v>134</v>
      </c>
      <c r="B79" s="8">
        <v>45352</v>
      </c>
      <c r="C79" s="7" t="s">
        <v>49</v>
      </c>
      <c r="D79" s="7" t="s">
        <v>50</v>
      </c>
      <c r="E79" s="7" t="s">
        <v>65</v>
      </c>
      <c r="F79" s="7" t="s">
        <v>40</v>
      </c>
      <c r="G79" s="7" t="s">
        <v>30</v>
      </c>
      <c r="H79" s="7" t="s">
        <v>55</v>
      </c>
      <c r="I79" s="7" t="s">
        <v>51</v>
      </c>
      <c r="J79" s="10">
        <v>1</v>
      </c>
    </row>
    <row r="80" spans="1:10" ht="14.4" customHeight="1" thickBot="1" x14ac:dyDescent="0.35">
      <c r="A80" s="9" t="s">
        <v>135</v>
      </c>
      <c r="B80" s="8">
        <v>45460</v>
      </c>
      <c r="C80" s="7" t="s">
        <v>49</v>
      </c>
      <c r="D80" s="7" t="s">
        <v>50</v>
      </c>
      <c r="E80" s="7" t="s">
        <v>53</v>
      </c>
      <c r="F80" s="7" t="s">
        <v>29</v>
      </c>
      <c r="G80" s="7" t="s">
        <v>61</v>
      </c>
      <c r="H80" s="7" t="s">
        <v>42</v>
      </c>
      <c r="I80" s="7" t="s">
        <v>56</v>
      </c>
      <c r="J80" s="10">
        <v>3</v>
      </c>
    </row>
    <row r="81" spans="1:10" ht="14.4" customHeight="1" thickBot="1" x14ac:dyDescent="0.35">
      <c r="A81" s="9" t="s">
        <v>136</v>
      </c>
      <c r="B81" s="8">
        <v>45399</v>
      </c>
      <c r="C81" s="7" t="s">
        <v>79</v>
      </c>
      <c r="D81" s="7" t="s">
        <v>70</v>
      </c>
      <c r="E81" s="7" t="s">
        <v>74</v>
      </c>
      <c r="F81" s="7" t="s">
        <v>54</v>
      </c>
      <c r="G81" s="7" t="s">
        <v>36</v>
      </c>
      <c r="H81" s="7" t="s">
        <v>31</v>
      </c>
      <c r="I81" s="7" t="s">
        <v>37</v>
      </c>
      <c r="J81" s="10">
        <v>4</v>
      </c>
    </row>
    <row r="82" spans="1:10" ht="14.4" customHeight="1" thickBot="1" x14ac:dyDescent="0.35">
      <c r="A82" s="9" t="s">
        <v>137</v>
      </c>
      <c r="B82" s="8">
        <v>45437</v>
      </c>
      <c r="C82" s="7" t="s">
        <v>49</v>
      </c>
      <c r="D82" s="7" t="s">
        <v>68</v>
      </c>
      <c r="E82" s="7" t="s">
        <v>46</v>
      </c>
      <c r="F82" s="7" t="s">
        <v>54</v>
      </c>
      <c r="G82" s="7" t="s">
        <v>30</v>
      </c>
      <c r="H82" s="7" t="s">
        <v>42</v>
      </c>
      <c r="I82" s="7" t="s">
        <v>51</v>
      </c>
      <c r="J82" s="10">
        <v>4</v>
      </c>
    </row>
    <row r="83" spans="1:10" ht="14.4" customHeight="1" thickBot="1" x14ac:dyDescent="0.35">
      <c r="A83" s="9" t="s">
        <v>138</v>
      </c>
      <c r="B83" s="8">
        <v>45330</v>
      </c>
      <c r="C83" s="7" t="s">
        <v>73</v>
      </c>
      <c r="D83" s="7" t="s">
        <v>68</v>
      </c>
      <c r="E83" s="7" t="s">
        <v>46</v>
      </c>
      <c r="F83" s="7" t="s">
        <v>29</v>
      </c>
      <c r="G83" s="7" t="s">
        <v>41</v>
      </c>
      <c r="H83" s="7" t="s">
        <v>55</v>
      </c>
      <c r="I83" s="7" t="s">
        <v>47</v>
      </c>
      <c r="J83" s="10">
        <v>2</v>
      </c>
    </row>
    <row r="84" spans="1:10" ht="14.4" customHeight="1" thickBot="1" x14ac:dyDescent="0.35">
      <c r="A84" s="9" t="s">
        <v>139</v>
      </c>
      <c r="B84" s="8">
        <v>45382</v>
      </c>
      <c r="C84" s="7" t="s">
        <v>73</v>
      </c>
      <c r="D84" s="7" t="s">
        <v>70</v>
      </c>
      <c r="E84" s="7" t="s">
        <v>53</v>
      </c>
      <c r="F84" s="7" t="s">
        <v>29</v>
      </c>
      <c r="G84" s="7" t="s">
        <v>36</v>
      </c>
      <c r="H84" s="7" t="s">
        <v>42</v>
      </c>
      <c r="I84" s="7" t="s">
        <v>32</v>
      </c>
      <c r="J84" s="10">
        <v>0</v>
      </c>
    </row>
    <row r="85" spans="1:10" ht="14.4" customHeight="1" thickBot="1" x14ac:dyDescent="0.35">
      <c r="A85" s="9" t="s">
        <v>140</v>
      </c>
      <c r="B85" s="8">
        <v>45329</v>
      </c>
      <c r="C85" s="7" t="s">
        <v>34</v>
      </c>
      <c r="D85" s="7" t="s">
        <v>45</v>
      </c>
      <c r="E85" s="7" t="s">
        <v>74</v>
      </c>
      <c r="F85" s="7" t="s">
        <v>29</v>
      </c>
      <c r="G85" s="7" t="s">
        <v>61</v>
      </c>
      <c r="H85" s="7" t="s">
        <v>55</v>
      </c>
      <c r="I85" s="7" t="s">
        <v>32</v>
      </c>
      <c r="J85" s="10">
        <v>5</v>
      </c>
    </row>
    <row r="86" spans="1:10" ht="14.4" customHeight="1" thickBot="1" x14ac:dyDescent="0.35">
      <c r="A86" s="9" t="s">
        <v>141</v>
      </c>
      <c r="B86" s="8">
        <v>45375</v>
      </c>
      <c r="C86" s="7" t="s">
        <v>64</v>
      </c>
      <c r="D86" s="7" t="s">
        <v>27</v>
      </c>
      <c r="E86" s="7" t="s">
        <v>28</v>
      </c>
      <c r="F86" s="7" t="s">
        <v>54</v>
      </c>
      <c r="G86" s="7" t="s">
        <v>30</v>
      </c>
      <c r="H86" s="7" t="s">
        <v>55</v>
      </c>
      <c r="I86" s="7" t="s">
        <v>37</v>
      </c>
      <c r="J86" s="10">
        <v>4</v>
      </c>
    </row>
    <row r="87" spans="1:10" ht="14.4" customHeight="1" thickBot="1" x14ac:dyDescent="0.35">
      <c r="A87" s="9" t="s">
        <v>142</v>
      </c>
      <c r="B87" s="8">
        <v>45320</v>
      </c>
      <c r="C87" s="7" t="s">
        <v>58</v>
      </c>
      <c r="D87" s="7" t="s">
        <v>45</v>
      </c>
      <c r="E87" s="7" t="s">
        <v>53</v>
      </c>
      <c r="F87" s="7" t="s">
        <v>29</v>
      </c>
      <c r="G87" s="7" t="s">
        <v>30</v>
      </c>
      <c r="H87" s="7" t="s">
        <v>66</v>
      </c>
      <c r="I87" s="7" t="s">
        <v>37</v>
      </c>
      <c r="J87" s="10">
        <v>0</v>
      </c>
    </row>
    <row r="88" spans="1:10" ht="14.4" customHeight="1" thickBot="1" x14ac:dyDescent="0.35">
      <c r="A88" s="9" t="s">
        <v>143</v>
      </c>
      <c r="B88" s="8">
        <v>45404</v>
      </c>
      <c r="C88" s="7" t="s">
        <v>64</v>
      </c>
      <c r="D88" s="7" t="s">
        <v>45</v>
      </c>
      <c r="E88" s="7" t="s">
        <v>74</v>
      </c>
      <c r="F88" s="7" t="s">
        <v>40</v>
      </c>
      <c r="G88" s="7" t="s">
        <v>61</v>
      </c>
      <c r="H88" s="7" t="s">
        <v>42</v>
      </c>
      <c r="I88" s="7" t="s">
        <v>32</v>
      </c>
      <c r="J88" s="10">
        <v>3</v>
      </c>
    </row>
    <row r="89" spans="1:10" ht="14.4" customHeight="1" thickBot="1" x14ac:dyDescent="0.35">
      <c r="A89" s="9" t="s">
        <v>144</v>
      </c>
      <c r="B89" s="8">
        <v>45424</v>
      </c>
      <c r="C89" s="7" t="s">
        <v>34</v>
      </c>
      <c r="D89" s="7" t="s">
        <v>68</v>
      </c>
      <c r="E89" s="7" t="s">
        <v>65</v>
      </c>
      <c r="F89" s="7" t="s">
        <v>40</v>
      </c>
      <c r="G89" s="7" t="s">
        <v>36</v>
      </c>
      <c r="H89" s="7" t="s">
        <v>31</v>
      </c>
      <c r="I89" s="7" t="s">
        <v>51</v>
      </c>
      <c r="J89" s="10">
        <v>4</v>
      </c>
    </row>
    <row r="90" spans="1:10" ht="14.4" customHeight="1" thickBot="1" x14ac:dyDescent="0.35">
      <c r="A90" s="9" t="s">
        <v>145</v>
      </c>
      <c r="B90" s="8">
        <v>45319</v>
      </c>
      <c r="C90" s="7" t="s">
        <v>44</v>
      </c>
      <c r="D90" s="7" t="s">
        <v>27</v>
      </c>
      <c r="E90" s="7" t="s">
        <v>65</v>
      </c>
      <c r="F90" s="7" t="s">
        <v>54</v>
      </c>
      <c r="G90" s="7" t="s">
        <v>41</v>
      </c>
      <c r="H90" s="7" t="s">
        <v>66</v>
      </c>
      <c r="I90" s="7" t="s">
        <v>47</v>
      </c>
      <c r="J90" s="10">
        <v>2</v>
      </c>
    </row>
    <row r="91" spans="1:10" ht="14.4" customHeight="1" thickBot="1" x14ac:dyDescent="0.35">
      <c r="A91" s="9" t="s">
        <v>146</v>
      </c>
      <c r="B91" s="8">
        <v>45308</v>
      </c>
      <c r="C91" s="7" t="s">
        <v>58</v>
      </c>
      <c r="D91" s="7" t="s">
        <v>50</v>
      </c>
      <c r="E91" s="7" t="s">
        <v>46</v>
      </c>
      <c r="F91" s="7" t="s">
        <v>35</v>
      </c>
      <c r="G91" s="7" t="s">
        <v>61</v>
      </c>
      <c r="H91" s="7" t="s">
        <v>66</v>
      </c>
      <c r="I91" s="7" t="s">
        <v>59</v>
      </c>
      <c r="J91" s="10">
        <v>3</v>
      </c>
    </row>
    <row r="92" spans="1:10" ht="14.4" customHeight="1" thickBot="1" x14ac:dyDescent="0.35">
      <c r="A92" s="9" t="s">
        <v>147</v>
      </c>
      <c r="B92" s="8">
        <v>45302</v>
      </c>
      <c r="C92" s="7" t="s">
        <v>79</v>
      </c>
      <c r="D92" s="7" t="s">
        <v>50</v>
      </c>
      <c r="E92" s="7" t="s">
        <v>53</v>
      </c>
      <c r="F92" s="7" t="s">
        <v>29</v>
      </c>
      <c r="G92" s="7" t="s">
        <v>30</v>
      </c>
      <c r="H92" s="7" t="s">
        <v>66</v>
      </c>
      <c r="I92" s="7" t="s">
        <v>56</v>
      </c>
      <c r="J92" s="10">
        <v>2</v>
      </c>
    </row>
    <row r="93" spans="1:10" ht="14.4" customHeight="1" thickBot="1" x14ac:dyDescent="0.35">
      <c r="A93" s="9" t="s">
        <v>148</v>
      </c>
      <c r="B93" s="8">
        <v>45457</v>
      </c>
      <c r="C93" s="7" t="s">
        <v>64</v>
      </c>
      <c r="D93" s="7" t="s">
        <v>50</v>
      </c>
      <c r="E93" s="7" t="s">
        <v>65</v>
      </c>
      <c r="F93" s="7" t="s">
        <v>40</v>
      </c>
      <c r="G93" s="7" t="s">
        <v>61</v>
      </c>
      <c r="H93" s="7" t="s">
        <v>31</v>
      </c>
      <c r="I93" s="7" t="s">
        <v>47</v>
      </c>
      <c r="J93" s="10">
        <v>1</v>
      </c>
    </row>
    <row r="94" spans="1:10" ht="14.4" customHeight="1" thickBot="1" x14ac:dyDescent="0.35">
      <c r="A94" s="9" t="s">
        <v>149</v>
      </c>
      <c r="B94" s="8">
        <v>45373</v>
      </c>
      <c r="C94" s="7" t="s">
        <v>26</v>
      </c>
      <c r="D94" s="7" t="s">
        <v>68</v>
      </c>
      <c r="E94" s="7" t="s">
        <v>39</v>
      </c>
      <c r="F94" s="7" t="s">
        <v>40</v>
      </c>
      <c r="G94" s="7" t="s">
        <v>30</v>
      </c>
      <c r="H94" s="7" t="s">
        <v>31</v>
      </c>
      <c r="I94" s="7" t="s">
        <v>51</v>
      </c>
      <c r="J94" s="10">
        <v>2</v>
      </c>
    </row>
    <row r="95" spans="1:10" ht="14.4" customHeight="1" thickBot="1" x14ac:dyDescent="0.35">
      <c r="A95" s="9" t="s">
        <v>150</v>
      </c>
      <c r="B95" s="8">
        <v>45445</v>
      </c>
      <c r="C95" s="7" t="s">
        <v>73</v>
      </c>
      <c r="D95" s="7" t="s">
        <v>68</v>
      </c>
      <c r="E95" s="7" t="s">
        <v>28</v>
      </c>
      <c r="F95" s="7" t="s">
        <v>35</v>
      </c>
      <c r="G95" s="7" t="s">
        <v>30</v>
      </c>
      <c r="H95" s="7" t="s">
        <v>55</v>
      </c>
      <c r="I95" s="7" t="s">
        <v>59</v>
      </c>
      <c r="J95" s="10">
        <v>0</v>
      </c>
    </row>
    <row r="96" spans="1:10" ht="14.4" customHeight="1" thickBot="1" x14ac:dyDescent="0.35">
      <c r="A96" s="9" t="s">
        <v>151</v>
      </c>
      <c r="B96" s="8">
        <v>45294</v>
      </c>
      <c r="C96" s="7" t="s">
        <v>34</v>
      </c>
      <c r="D96" s="7" t="s">
        <v>45</v>
      </c>
      <c r="E96" s="7" t="s">
        <v>53</v>
      </c>
      <c r="F96" s="7" t="s">
        <v>29</v>
      </c>
      <c r="G96" s="7" t="s">
        <v>30</v>
      </c>
      <c r="H96" s="7" t="s">
        <v>66</v>
      </c>
      <c r="I96" s="7" t="s">
        <v>32</v>
      </c>
      <c r="J96" s="10">
        <v>1</v>
      </c>
    </row>
    <row r="97" spans="1:10" ht="14.4" customHeight="1" thickBot="1" x14ac:dyDescent="0.35">
      <c r="A97" s="9" t="s">
        <v>152</v>
      </c>
      <c r="B97" s="8">
        <v>45458</v>
      </c>
      <c r="C97" s="7" t="s">
        <v>79</v>
      </c>
      <c r="D97" s="7" t="s">
        <v>70</v>
      </c>
      <c r="E97" s="7" t="s">
        <v>28</v>
      </c>
      <c r="F97" s="7" t="s">
        <v>35</v>
      </c>
      <c r="G97" s="7" t="s">
        <v>41</v>
      </c>
      <c r="H97" s="7" t="s">
        <v>42</v>
      </c>
      <c r="I97" s="7" t="s">
        <v>59</v>
      </c>
      <c r="J97" s="10">
        <v>4</v>
      </c>
    </row>
    <row r="98" spans="1:10" ht="14.4" customHeight="1" thickBot="1" x14ac:dyDescent="0.35">
      <c r="A98" s="9" t="s">
        <v>153</v>
      </c>
      <c r="B98" s="8">
        <v>45369</v>
      </c>
      <c r="C98" s="7" t="s">
        <v>26</v>
      </c>
      <c r="D98" s="7" t="s">
        <v>45</v>
      </c>
      <c r="E98" s="7" t="s">
        <v>74</v>
      </c>
      <c r="F98" s="7" t="s">
        <v>29</v>
      </c>
      <c r="G98" s="7" t="s">
        <v>36</v>
      </c>
      <c r="H98" s="7" t="s">
        <v>42</v>
      </c>
      <c r="I98" s="7" t="s">
        <v>37</v>
      </c>
      <c r="J98" s="10">
        <v>1</v>
      </c>
    </row>
    <row r="99" spans="1:10" ht="14.4" customHeight="1" thickBot="1" x14ac:dyDescent="0.35">
      <c r="A99" s="9" t="s">
        <v>154</v>
      </c>
      <c r="B99" s="8">
        <v>45389</v>
      </c>
      <c r="C99" s="7" t="s">
        <v>44</v>
      </c>
      <c r="D99" s="7" t="s">
        <v>70</v>
      </c>
      <c r="E99" s="7" t="s">
        <v>65</v>
      </c>
      <c r="F99" s="7" t="s">
        <v>35</v>
      </c>
      <c r="G99" s="7" t="s">
        <v>61</v>
      </c>
      <c r="H99" s="7" t="s">
        <v>66</v>
      </c>
      <c r="I99" s="7" t="s">
        <v>37</v>
      </c>
      <c r="J99" s="10">
        <v>5</v>
      </c>
    </row>
    <row r="100" spans="1:10" ht="14.4" customHeight="1" thickBot="1" x14ac:dyDescent="0.35">
      <c r="A100" s="9" t="s">
        <v>155</v>
      </c>
      <c r="B100" s="8">
        <v>45456</v>
      </c>
      <c r="C100" s="7" t="s">
        <v>79</v>
      </c>
      <c r="D100" s="7" t="s">
        <v>50</v>
      </c>
      <c r="E100" s="7" t="s">
        <v>39</v>
      </c>
      <c r="F100" s="7" t="s">
        <v>29</v>
      </c>
      <c r="G100" s="7" t="s">
        <v>36</v>
      </c>
      <c r="H100" s="7" t="s">
        <v>42</v>
      </c>
      <c r="I100" s="7" t="s">
        <v>37</v>
      </c>
      <c r="J100" s="10">
        <v>0</v>
      </c>
    </row>
    <row r="101" spans="1:10" ht="14.4" customHeight="1" thickBot="1" x14ac:dyDescent="0.35">
      <c r="A101" s="9" t="s">
        <v>156</v>
      </c>
      <c r="B101" s="8">
        <v>45342</v>
      </c>
      <c r="C101" s="7" t="s">
        <v>34</v>
      </c>
      <c r="D101" s="7" t="s">
        <v>45</v>
      </c>
      <c r="E101" s="7" t="s">
        <v>39</v>
      </c>
      <c r="F101" s="7" t="s">
        <v>29</v>
      </c>
      <c r="G101" s="7" t="s">
        <v>36</v>
      </c>
      <c r="H101" s="7" t="s">
        <v>55</v>
      </c>
      <c r="I101" s="7" t="s">
        <v>56</v>
      </c>
      <c r="J101" s="10">
        <v>3</v>
      </c>
    </row>
    <row r="102" spans="1:10" ht="14.4" customHeight="1" thickBot="1" x14ac:dyDescent="0.35">
      <c r="A102" s="9" t="s">
        <v>157</v>
      </c>
      <c r="B102" s="8">
        <v>45313</v>
      </c>
      <c r="C102" s="7" t="s">
        <v>49</v>
      </c>
      <c r="D102" s="7" t="s">
        <v>50</v>
      </c>
      <c r="E102" s="7" t="s">
        <v>53</v>
      </c>
      <c r="F102" s="7" t="s">
        <v>29</v>
      </c>
      <c r="G102" s="7" t="s">
        <v>41</v>
      </c>
      <c r="H102" s="7" t="s">
        <v>55</v>
      </c>
      <c r="I102" s="7" t="s">
        <v>56</v>
      </c>
      <c r="J102" s="10">
        <v>5</v>
      </c>
    </row>
    <row r="103" spans="1:10" ht="14.4" customHeight="1" thickBot="1" x14ac:dyDescent="0.35">
      <c r="A103" s="9" t="s">
        <v>158</v>
      </c>
      <c r="B103" s="8">
        <v>45403</v>
      </c>
      <c r="C103" s="7" t="s">
        <v>58</v>
      </c>
      <c r="D103" s="7" t="s">
        <v>68</v>
      </c>
      <c r="E103" s="7" t="s">
        <v>46</v>
      </c>
      <c r="F103" s="7" t="s">
        <v>40</v>
      </c>
      <c r="G103" s="7" t="s">
        <v>36</v>
      </c>
      <c r="H103" s="7" t="s">
        <v>42</v>
      </c>
      <c r="I103" s="7" t="s">
        <v>56</v>
      </c>
      <c r="J103" s="10">
        <v>3</v>
      </c>
    </row>
    <row r="104" spans="1:10" ht="14.4" customHeight="1" thickBot="1" x14ac:dyDescent="0.35">
      <c r="A104" s="9" t="s">
        <v>159</v>
      </c>
      <c r="B104" s="8">
        <v>45390</v>
      </c>
      <c r="C104" s="7" t="s">
        <v>58</v>
      </c>
      <c r="D104" s="7" t="s">
        <v>70</v>
      </c>
      <c r="E104" s="7" t="s">
        <v>65</v>
      </c>
      <c r="F104" s="7" t="s">
        <v>40</v>
      </c>
      <c r="G104" s="7" t="s">
        <v>61</v>
      </c>
      <c r="H104" s="7" t="s">
        <v>66</v>
      </c>
      <c r="I104" s="7" t="s">
        <v>59</v>
      </c>
      <c r="J104" s="10">
        <v>0</v>
      </c>
    </row>
    <row r="105" spans="1:10" ht="14.4" customHeight="1" thickBot="1" x14ac:dyDescent="0.35">
      <c r="A105" s="9" t="s">
        <v>160</v>
      </c>
      <c r="B105" s="8">
        <v>45464</v>
      </c>
      <c r="C105" s="7" t="s">
        <v>79</v>
      </c>
      <c r="D105" s="7" t="s">
        <v>27</v>
      </c>
      <c r="E105" s="7" t="s">
        <v>28</v>
      </c>
      <c r="F105" s="7" t="s">
        <v>29</v>
      </c>
      <c r="G105" s="7" t="s">
        <v>61</v>
      </c>
      <c r="H105" s="7" t="s">
        <v>55</v>
      </c>
      <c r="I105" s="7" t="s">
        <v>56</v>
      </c>
      <c r="J105" s="10">
        <v>4</v>
      </c>
    </row>
    <row r="106" spans="1:10" ht="14.4" customHeight="1" x14ac:dyDescent="0.3">
      <c r="A106" s="14" t="s">
        <v>161</v>
      </c>
      <c r="B106" s="15">
        <v>45317</v>
      </c>
      <c r="C106" s="16" t="s">
        <v>64</v>
      </c>
      <c r="D106" s="16" t="s">
        <v>70</v>
      </c>
      <c r="E106" s="16" t="s">
        <v>65</v>
      </c>
      <c r="F106" s="16" t="s">
        <v>40</v>
      </c>
      <c r="G106" s="16" t="s">
        <v>36</v>
      </c>
      <c r="H106" s="16" t="s">
        <v>66</v>
      </c>
      <c r="I106" s="16" t="s">
        <v>32</v>
      </c>
      <c r="J106" s="17">
        <v>2</v>
      </c>
    </row>
  </sheetData>
  <mergeCells count="1">
    <mergeCell ref="A1:V4"/>
  </mergeCell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583F6D-25D0-49AA-89E3-14DEE4AE07A8}">
  <dimension ref="A1:F21"/>
  <sheetViews>
    <sheetView workbookViewId="0">
      <selection activeCell="B8" sqref="B8"/>
    </sheetView>
  </sheetViews>
  <sheetFormatPr defaultRowHeight="14.4" x14ac:dyDescent="0.3"/>
  <cols>
    <col min="1" max="1" width="12.5546875" bestFit="1" customWidth="1"/>
    <col min="2" max="2" width="18.5546875" bestFit="1" customWidth="1"/>
    <col min="4" max="4" width="12.5546875" bestFit="1" customWidth="1"/>
    <col min="5" max="5" width="13.21875" bestFit="1" customWidth="1"/>
    <col min="6" max="6" width="18.5546875" bestFit="1" customWidth="1"/>
    <col min="9" max="9" width="13.21875" bestFit="1" customWidth="1"/>
    <col min="10" max="10" width="18.5546875" bestFit="1" customWidth="1"/>
    <col min="13" max="13" width="12.5546875" bestFit="1" customWidth="1"/>
    <col min="14" max="14" width="18.5546875" bestFit="1" customWidth="1"/>
  </cols>
  <sheetData>
    <row r="1" spans="1:6" x14ac:dyDescent="0.3">
      <c r="A1" s="18" t="s">
        <v>162</v>
      </c>
      <c r="B1" t="s">
        <v>164</v>
      </c>
      <c r="E1" s="18" t="s">
        <v>162</v>
      </c>
      <c r="F1" t="s">
        <v>164</v>
      </c>
    </row>
    <row r="2" spans="1:6" x14ac:dyDescent="0.3">
      <c r="A2" s="19" t="s">
        <v>49</v>
      </c>
      <c r="B2" s="27">
        <v>14</v>
      </c>
      <c r="E2" s="19" t="s">
        <v>28</v>
      </c>
      <c r="F2" s="27">
        <v>18</v>
      </c>
    </row>
    <row r="3" spans="1:6" x14ac:dyDescent="0.3">
      <c r="A3" s="19" t="s">
        <v>73</v>
      </c>
      <c r="B3" s="27">
        <v>12</v>
      </c>
      <c r="E3" s="19" t="s">
        <v>39</v>
      </c>
      <c r="F3" s="27">
        <v>14</v>
      </c>
    </row>
    <row r="4" spans="1:6" x14ac:dyDescent="0.3">
      <c r="A4" s="19" t="s">
        <v>58</v>
      </c>
      <c r="B4" s="27">
        <v>9</v>
      </c>
      <c r="E4" s="19" t="s">
        <v>74</v>
      </c>
      <c r="F4" s="27">
        <v>10</v>
      </c>
    </row>
    <row r="5" spans="1:6" x14ac:dyDescent="0.3">
      <c r="A5" s="19" t="s">
        <v>26</v>
      </c>
      <c r="B5" s="27">
        <v>17</v>
      </c>
      <c r="E5" s="19" t="s">
        <v>53</v>
      </c>
      <c r="F5" s="27">
        <v>21</v>
      </c>
    </row>
    <row r="6" spans="1:6" x14ac:dyDescent="0.3">
      <c r="A6" s="19" t="s">
        <v>79</v>
      </c>
      <c r="B6" s="27">
        <v>13</v>
      </c>
      <c r="E6" s="19" t="s">
        <v>65</v>
      </c>
      <c r="F6" s="27">
        <v>16</v>
      </c>
    </row>
    <row r="7" spans="1:6" x14ac:dyDescent="0.3">
      <c r="A7" s="19" t="s">
        <v>34</v>
      </c>
      <c r="B7" s="27">
        <v>15</v>
      </c>
      <c r="E7" s="19" t="s">
        <v>46</v>
      </c>
      <c r="F7" s="27">
        <v>12</v>
      </c>
    </row>
    <row r="8" spans="1:6" x14ac:dyDescent="0.3">
      <c r="A8" s="19" t="s">
        <v>44</v>
      </c>
      <c r="B8" s="27">
        <v>11</v>
      </c>
      <c r="E8" s="19" t="s">
        <v>163</v>
      </c>
      <c r="F8" s="27">
        <v>91</v>
      </c>
    </row>
    <row r="9" spans="1:6" x14ac:dyDescent="0.3">
      <c r="A9" s="19" t="s">
        <v>163</v>
      </c>
      <c r="B9" s="27">
        <v>91</v>
      </c>
    </row>
    <row r="16" spans="1:6" x14ac:dyDescent="0.3">
      <c r="A16" s="18" t="s">
        <v>162</v>
      </c>
      <c r="B16" t="s">
        <v>164</v>
      </c>
      <c r="E16" s="18" t="s">
        <v>162</v>
      </c>
      <c r="F16" t="s">
        <v>164</v>
      </c>
    </row>
    <row r="17" spans="1:6" x14ac:dyDescent="0.3">
      <c r="A17" s="19" t="s">
        <v>42</v>
      </c>
      <c r="B17" s="27">
        <v>23</v>
      </c>
      <c r="E17" s="19" t="s">
        <v>29</v>
      </c>
      <c r="F17" s="27">
        <v>27</v>
      </c>
    </row>
    <row r="18" spans="1:6" x14ac:dyDescent="0.3">
      <c r="A18" s="19" t="s">
        <v>55</v>
      </c>
      <c r="B18" s="27">
        <v>23</v>
      </c>
      <c r="E18" s="19" t="s">
        <v>35</v>
      </c>
      <c r="F18" s="27">
        <v>23</v>
      </c>
    </row>
    <row r="19" spans="1:6" x14ac:dyDescent="0.3">
      <c r="A19" s="19" t="s">
        <v>31</v>
      </c>
      <c r="B19" s="27">
        <v>20</v>
      </c>
      <c r="E19" s="19" t="s">
        <v>54</v>
      </c>
      <c r="F19" s="27">
        <v>21</v>
      </c>
    </row>
    <row r="20" spans="1:6" x14ac:dyDescent="0.3">
      <c r="A20" s="19" t="s">
        <v>66</v>
      </c>
      <c r="B20" s="27">
        <v>25</v>
      </c>
      <c r="E20" s="19" t="s">
        <v>40</v>
      </c>
      <c r="F20" s="27">
        <v>20</v>
      </c>
    </row>
    <row r="21" spans="1:6" x14ac:dyDescent="0.3">
      <c r="A21" s="19" t="s">
        <v>163</v>
      </c>
      <c r="B21" s="27">
        <v>91</v>
      </c>
      <c r="E21" s="19" t="s">
        <v>163</v>
      </c>
      <c r="F21" s="27">
        <v>91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A04203-5BFD-4A2F-96BA-0752BBB13373}">
  <dimension ref="A1:H4"/>
  <sheetViews>
    <sheetView showFormulas="1" tabSelected="1" workbookViewId="0">
      <selection activeCell="G50" sqref="G50"/>
    </sheetView>
  </sheetViews>
  <sheetFormatPr defaultRowHeight="14.4" x14ac:dyDescent="0.3"/>
  <sheetData>
    <row r="1" spans="1:8" ht="14.4" customHeight="1" x14ac:dyDescent="0.3">
      <c r="A1" s="24" t="s">
        <v>165</v>
      </c>
      <c r="B1" s="24"/>
      <c r="C1" s="25"/>
      <c r="D1" s="24" t="s">
        <v>166</v>
      </c>
      <c r="E1" s="24"/>
      <c r="G1" s="20" t="s">
        <v>167</v>
      </c>
      <c r="H1" s="26"/>
    </row>
    <row r="2" spans="1:8" x14ac:dyDescent="0.3">
      <c r="A2" s="24"/>
      <c r="B2" s="24"/>
      <c r="C2" s="25"/>
      <c r="D2" s="24"/>
      <c r="E2" s="24"/>
      <c r="G2" s="26"/>
      <c r="H2" s="26"/>
    </row>
    <row r="3" spans="1:8" x14ac:dyDescent="0.3">
      <c r="A3" s="24"/>
      <c r="B3" s="24"/>
      <c r="C3" s="25"/>
      <c r="D3" s="24"/>
      <c r="E3" s="24"/>
      <c r="G3" s="26"/>
      <c r="H3" s="26"/>
    </row>
    <row r="4" spans="1:8" x14ac:dyDescent="0.3">
      <c r="A4" s="24"/>
      <c r="B4" s="24"/>
      <c r="D4" s="24"/>
      <c r="E4" s="24"/>
      <c r="G4" s="26"/>
      <c r="H4" s="26"/>
    </row>
  </sheetData>
  <mergeCells count="3">
    <mergeCell ref="A1:B4"/>
    <mergeCell ref="D1:E4"/>
    <mergeCell ref="G1:H4"/>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Raw Data</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chanchal ram</dc:creator>
  <cp:lastModifiedBy>chanchal ram</cp:lastModifiedBy>
  <dcterms:created xsi:type="dcterms:W3CDTF">2026-05-26T08:28:36Z</dcterms:created>
  <dcterms:modified xsi:type="dcterms:W3CDTF">2026-06-01T10:25:04Z</dcterms:modified>
</cp:coreProperties>
</file>